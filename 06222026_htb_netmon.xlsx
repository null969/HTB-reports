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0B48FF1B-8CD3-46EE-8353-CF2C8EF10581}" xr6:coauthVersionLast="47" xr6:coauthVersionMax="47" xr10:uidLastSave="{00000000-0000-0000-0000-000000000000}"/>
  <bookViews>
    <workbookView xWindow="-120" yWindow="-16320" windowWidth="29040" windowHeight="15720" xr2:uid="{9AA4AFCA-69F3-4FD9-877C-89FBB0C8B483}"/>
  </bookViews>
  <sheets>
    <sheet name="Network" sheetId="1" r:id="rId1"/>
    <sheet name="Web App" sheetId="3" r:id="rId2"/>
    <sheet name="On host" sheetId="4" r:id="rId3"/>
    <sheet name="Commands" sheetId="2" r:id="rId4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6" i="1" l="1"/>
  <c r="F12" i="1"/>
  <c r="F13" i="1"/>
  <c r="F10" i="1"/>
  <c r="F8" i="1"/>
  <c r="F4" i="1"/>
  <c r="F14" i="1"/>
  <c r="F11" i="1"/>
  <c r="F7" i="1"/>
  <c r="F9" i="1"/>
  <c r="F2" i="1"/>
  <c r="F3" i="1"/>
  <c r="E6" i="1"/>
  <c r="E12" i="1"/>
  <c r="E13" i="1"/>
  <c r="E10" i="1"/>
  <c r="E8" i="1"/>
  <c r="E4" i="1"/>
  <c r="E14" i="1"/>
  <c r="E11" i="1"/>
  <c r="E7" i="1"/>
  <c r="E9" i="1"/>
  <c r="E2" i="1"/>
  <c r="E3" i="1"/>
  <c r="F5" i="1"/>
  <c r="E5" i="1"/>
</calcChain>
</file>

<file path=xl/sharedStrings.xml><?xml version="1.0" encoding="utf-8"?>
<sst xmlns="http://schemas.openxmlformats.org/spreadsheetml/2006/main" count="125" uniqueCount="85">
  <si>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</si>
  <si>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</si>
  <si>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</si>
  <si>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</si>
  <si>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</si>
  <si>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</si>
  <si>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</si>
  <si>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</si>
  <si>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</si>
  <si>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</si>
  <si>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</si>
  <si>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</si>
  <si>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</si>
  <si>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</si>
  <si>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</si>
  <si>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</si>
  <si>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</si>
  <si>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</si>
  <si>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445/tcp</t>
  </si>
  <si>
    <t>47001/tcp</t>
  </si>
  <si>
    <t>49669/tcp</t>
  </si>
  <si>
    <t>5985/tcp</t>
  </si>
  <si>
    <t>49667/tcp</t>
  </si>
  <si>
    <t>49665/tcp</t>
  </si>
  <si>
    <t>21/tcp</t>
  </si>
  <si>
    <t>80/tcp</t>
  </si>
  <si>
    <t>49668/tcp</t>
  </si>
  <si>
    <t>49664/tcp</t>
  </si>
  <si>
    <t>49666/tcp</t>
  </si>
  <si>
    <t>135/tcp</t>
  </si>
  <si>
    <t>139/tcp</t>
  </si>
  <si>
    <t>Port + Protocol</t>
  </si>
  <si>
    <t>#=LEFT($D2,FIND("/",$D2)-1)</t>
  </si>
  <si>
    <t>#=MID($D2,FIND("/",$D2)+1,LEN($D2))</t>
  </si>
  <si>
    <r>
      <t xml:space="preserve">21/tcp    open  ftp          Microsoft ftpd
| ftp-anon: </t>
    </r>
    <r>
      <rPr>
        <b/>
        <sz val="11"/>
        <color theme="1"/>
        <rFont val="Aptos Narrow"/>
        <family val="2"/>
        <scheme val="minor"/>
      </rPr>
      <t>Anonymous FTP login</t>
    </r>
    <r>
      <rPr>
        <sz val="11"/>
        <color theme="1"/>
        <rFont val="Aptos Narrow"/>
        <family val="2"/>
        <scheme val="minor"/>
      </rPr>
      <t xml:space="preserve"> allowed (FTP code 230)
| 02-03-19  12:18AM                 1024 .rnd
| 02-25-19  10:15PM       &lt;DIR&gt;          inetpub
| 07-16-16  09:18AM       &lt;DIR&gt;          PerfLogs
| 02-25-19  10:56PM       &lt;DIR&gt;          Program Files
| 02-03-19  12:28AM       &lt;DIR&gt;          Program Files (x86)
| 02-03-19  08:08AM       &lt;DIR&gt;          Users
|_11-10-23  10:20AM       &lt;DIR&gt;          Windows
| ftp-syst: 
|_  SYST: Windows_NT</t>
    </r>
  </si>
  <si>
    <t>80/tcp    open  http         Indy httpd 18.1.37.13946 (Paessler PRTG bandwidth monitor)
| http-methods: 
|_  Supported Methods: GET HEAD POST OPTIONS
| http-title: Welcome | PRTG Network Monitor (NETMON)
|_Requested resource was /index.htm
|_http-favicon: Unknown favicon MD5: 36B3EF286FA4BEFBB797A0966B456479
|_http-server-header: PRTG/18.1.37.13946
|_http-trane-info: Problem with XML parsing of /evox/about</t>
  </si>
  <si>
    <t>135/tcp   open  msrpc        Microsoft Windows RPC</t>
  </si>
  <si>
    <t>139/tcp   open  netbios-ssn  Microsoft Windows netbios-ssn</t>
  </si>
  <si>
    <t>445/tcp   open  microsoft-ds Microsoft Windows Server 2008 R2 - 2012 microsoft-ds</t>
  </si>
  <si>
    <t>5985/tcp  open  http         Microsoft HTTPAPI httpd 2.0 (SSDP/UPnP)
|_http-title: Not Found
|_http-server-header: Microsoft-HTTPAPI/2.0</t>
  </si>
  <si>
    <t>WinRM</t>
  </si>
  <si>
    <t>47001/tcp open  http         Microsoft HTTPAPI httpd 2.0 (SSDP/UPnP)
|_http-title: Not Found
|_http-server-header: Microsoft-HTTPAPI/2.0</t>
  </si>
  <si>
    <t>msrpc        Microsoft Windows RPC</t>
  </si>
  <si>
    <t>https://hackviser.com/tactics/pentesting/services/ftp</t>
  </si>
  <si>
    <t>Files/Artifacts</t>
  </si>
  <si>
    <t xml:space="preserve"> Windows 10 / Server 2016 Build 14393 x64 </t>
  </si>
  <si>
    <t xml:space="preserve"> Windows 10 / Server 2016 Build 14393 x65</t>
  </si>
  <si>
    <t xml:space="preserve"> Windows 10 / Server 2016 Build 14393 x66</t>
  </si>
  <si>
    <t xml:space="preserve"> Windows 10 / Server 2016 Build 14393 x67</t>
  </si>
  <si>
    <t xml:space="preserve"> Windows 10 / Server 2016 Build 14393 x68</t>
  </si>
  <si>
    <t xml:space="preserve"> Windows 10 / Server 2016 Build 14393 x69</t>
  </si>
  <si>
    <t xml:space="preserve"> Windows 10 / Server 2016 Build 14393 x70</t>
  </si>
  <si>
    <t xml:space="preserve"> Windows 10 / Server 2016 Build 14393 x71</t>
  </si>
  <si>
    <t xml:space="preserve"> Windows 10 / Server 2016 Build 14393 x72</t>
  </si>
  <si>
    <t xml:space="preserve"> Windows 10 / Server 2016 Build 14393 x73</t>
  </si>
  <si>
    <t xml:space="preserve"> Windows 10 / Server 2016 Build 14393 x74</t>
  </si>
  <si>
    <t xml:space="preserve"> Windows 10 / Server 2016 Build 14393 x75</t>
  </si>
  <si>
    <t xml:space="preserve"> Windows 10 / Server 2016 Build 14393 x76</t>
  </si>
  <si>
    <t>No anon login to shares looks like.</t>
  </si>
  <si>
    <t>cat hosts /etc/hosts| sudo tee /etc/hosts | head -1</t>
  </si>
  <si>
    <t>NETMON</t>
  </si>
  <si>
    <t>PRTG Network Monitor software
Maybe default credentials? Look up.
Also directory search. Also get system version.
These are not the credentials.</t>
  </si>
  <si>
    <t>prtgadmin:prtgadmin</t>
  </si>
  <si>
    <t>python3 -m venv netmon-env</t>
  </si>
  <si>
    <t>source netmon-env/bin/activate</t>
  </si>
  <si>
    <t>uv tool install git+https://github.com/dadevel/prtg-decryptor.git@main</t>
  </si>
  <si>
    <t>prtg-decryptor file ./configuration.dat -o ./out.html</t>
  </si>
  <si>
    <r>
      <t xml:space="preserve">.listing
PRTG Network Monitor
user.txt: fc1bdff5ee9af5d57771dd4447303766
PRTG Configuration.dat
PRTG Configuration.old
PRTG Configuration.old.bak
db: prtgadmin:PrTg@dmin2018
</t>
    </r>
    <r>
      <rPr>
        <b/>
        <sz val="11"/>
        <color theme="1"/>
        <rFont val="Aptos Narrow"/>
        <family val="2"/>
        <scheme val="minor"/>
      </rPr>
      <t>prtgadmin:PrTg@dmin2019</t>
    </r>
    <r>
      <rPr>
        <sz val="11"/>
        <color theme="1"/>
        <rFont val="Aptos Narrow"/>
        <family val="2"/>
        <scheme val="minor"/>
      </rPr>
      <t xml:space="preserve">
</t>
    </r>
  </si>
  <si>
    <r>
      <rPr>
        <b/>
        <sz val="11"/>
        <color theme="1"/>
        <rFont val="Aptos Narrow"/>
        <family val="2"/>
        <scheme val="minor"/>
      </rPr>
      <t>Anon login</t>
    </r>
    <r>
      <rPr>
        <sz val="11"/>
        <color theme="1"/>
        <rFont val="Aptos Narrow"/>
        <family val="2"/>
        <scheme val="minor"/>
      </rPr>
      <t xml:space="preserve">. Downloading files. Pretty big data transfer! (might have to redownload due to stopping).
</t>
    </r>
    <r>
      <rPr>
        <b/>
        <sz val="11"/>
        <color theme="1"/>
        <rFont val="Aptos Narrow"/>
        <family val="2"/>
        <scheme val="minor"/>
      </rPr>
      <t>.listing</t>
    </r>
    <r>
      <rPr>
        <sz val="11"/>
        <color theme="1"/>
        <rFont val="Aptos Narrow"/>
        <family val="2"/>
        <scheme val="minor"/>
      </rPr>
      <t xml:space="preserve"> file is interesting because it looks like a listing of the directory structure in C anyway. It's also in the garbage  bin.
So weird this looks like the system? It has all the files on it.
Just not a full picture but </t>
    </r>
    <r>
      <rPr>
        <b/>
        <sz val="11"/>
        <color theme="1"/>
        <rFont val="Aptos Narrow"/>
        <family val="2"/>
        <scheme val="minor"/>
      </rPr>
      <t>PRTG Network Monitor</t>
    </r>
    <r>
      <rPr>
        <sz val="11"/>
        <color theme="1"/>
        <rFont val="Aptos Narrow"/>
        <family val="2"/>
        <scheme val="minor"/>
      </rPr>
      <t xml:space="preserve"> software installed.
</t>
    </r>
    <r>
      <rPr>
        <b/>
        <sz val="11"/>
        <color theme="1"/>
        <rFont val="Aptos Narrow"/>
        <family val="2"/>
        <scheme val="minor"/>
      </rPr>
      <t>Oh lol wth, I can access user.txt from FTP server.
Okay found a bunch of configuration files. Going to try and decrypt them.</t>
    </r>
    <r>
      <rPr>
        <sz val="11"/>
        <color theme="1"/>
        <rFont val="Aptos Narrow"/>
        <family val="2"/>
        <scheme val="minor"/>
      </rPr>
      <t xml:space="preserve">
Actually in plain text. Going to try them out. No luck on SMB or WINRM. FTP neither. 
Ohhh needed a hint. PrTg@dmin2019. It's the pattern!
msfconsole exploit worked.</t>
    </r>
  </si>
  <si>
    <t>nt authority\system</t>
  </si>
  <si>
    <t>Yeah you login immediately as system.</t>
  </si>
  <si>
    <t>root.txt: 3e764c0d4510e0be576fe547c7af9532</t>
  </si>
  <si>
    <t>[victim IP]</t>
  </si>
  <si>
    <t>sudo masscan -pT:1-65535,U:1-65535 --rate=1000 -e tun0 [victim IP] &gt; raw_ports.txt</t>
  </si>
  <si>
    <t>sudo nmap -p$(cat raw_ports.txt | cut -d ' ' -f 4 | cut -d '/' -f 1 | sort -un | tr '\n' ',' | sed 's/,$//') -sS -sV --version-all -sC -O -v [victim IP]</t>
  </si>
  <si>
    <t>ftp [victim IP]</t>
  </si>
  <si>
    <t>wget -m ftp://anonymous:anonymous@[victim IP]</t>
  </si>
  <si>
    <t xml:space="preserve">netexec smb [victim IP] --generate-hosts-file hosts  </t>
  </si>
  <si>
    <t>netexec smb [victim IP] -u null -p '' --shares</t>
  </si>
  <si>
    <t>grep -ri "password" [victim IP]/</t>
  </si>
  <si>
    <t>grep -ri "username" [victim IP]/</t>
  </si>
  <si>
    <t>find [victim IP]/ -type f \( -name "*.conf" -o -name "*.cfg" -o -name "*.xml" -o -name "*.ini" \)</t>
  </si>
  <si>
    <t xml:space="preserve">netexec smb [victim IP] -u 'prtgadmin' -p 'PrTg@dmin2018' </t>
  </si>
  <si>
    <t>netexec winrm [victim IP] -u 'prtgadmin' -p 'PrTg@dmin2018'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</si>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</sst>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/>
    <xf numFmtId="0" fontId="2" fillId="0" borderId="0" xfId="1" applyAlignment="1">
      <alignment horizontal="left" vertical="top"/>
    </xf>
    <xf numFmtId="0" fontId="2" fillId="0" borderId="0" xfId="1" applyAlignment="1">
      <alignment horizontal="left" vertical="top" wrapText="1"/>
    </xf>
    <xf numFmtId="0" fontId="4" fillId="0" borderId="0" xfId="0" applyFont="1" applyAlignment="1">
      <alignment wrapText="1"/>
    </xf>
    <xf numFmtId="2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ackviser.com/tactics/pentesting/services/ft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21"/>
  <sheetViews>
    <sheetView tabSelected="1" workbookViewId="0">
      <pane ySplit="1" topLeftCell="A2" activePane="bottomLeft" state="frozen"/>
      <selection activeCell="E1" sqref="E1"/>
      <selection pane="bottomLeft" activeCell="B17" sqref="B17"/>
    </sheetView>
  </sheetViews>
  <sheetFormatPr defaultRowHeight="15" customHeight="1" x14ac:dyDescent="0.3"/>
  <cols>
    <col min="1" max="1" width="13.77734375" style="2" bestFit="1" customWidth="1"/>
    <col min="2" max="2" width="29.109375" style="2" bestFit="1" customWidth="1"/>
    <col min="3" max="4" width="15.109375" style="2" customWidth="1"/>
    <col min="5" max="5" width="10.33203125" style="2" customWidth="1"/>
    <col min="6" max="6" width="14.21875" style="2" customWidth="1"/>
    <col min="7" max="7" width="55" style="2" customWidth="1"/>
    <col min="8" max="8" width="37.5546875" style="2" customWidth="1"/>
    <col min="9" max="9" width="48.88671875" style="2" customWidth="1"/>
    <col min="10" max="10" width="37.5546875" style="2" customWidth="1"/>
    <col min="11" max="11" width="52.21875" style="2" customWidth="1"/>
    <col min="12" max="16384" width="8.88671875" style="2"/>
  </cols>
  <sheetData>
    <row r="1" spans="1:11" s="4" customFormat="1" ht="15" customHeight="1" x14ac:dyDescent="0.3">
      <c r="A1" s="4" t="s">
        <v>0</v>
      </c>
      <c r="B1" s="4" t="s">
        <v>15</v>
      </c>
      <c r="C1" s="4" t="s">
        <v>1</v>
      </c>
      <c r="D1" s="4" t="s">
        <v>31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44</v>
      </c>
      <c r="J1" s="4" t="s">
        <v>10</v>
      </c>
      <c r="K1" s="4" t="s">
        <v>9</v>
      </c>
    </row>
    <row r="2" spans="1:11" ht="15" customHeight="1" x14ac:dyDescent="0.3">
      <c r="A2" s="2" t="s">
        <v>72</v>
      </c>
      <c r="B2" s="2" t="s">
        <v>45</v>
      </c>
      <c r="C2" s="2" t="s">
        <v>60</v>
      </c>
      <c r="D2" s="2" t="s">
        <v>29</v>
      </c>
      <c r="E2" s="10" t="str">
        <f t="shared" ref="E2:E14" si="0">LEFT($D2,FIND("/",$D2)-1)</f>
        <v>135</v>
      </c>
      <c r="F2" s="11" t="str">
        <f t="shared" ref="F2:F14" si="1">MID($D2,FIND("/",$D2)+1,LEN($D2))</f>
        <v>tcp</v>
      </c>
      <c r="G2" s="2" t="s">
        <v>36</v>
      </c>
    </row>
    <row r="3" spans="1:11" ht="15" customHeight="1" x14ac:dyDescent="0.3">
      <c r="A3" s="2" t="s">
        <v>72</v>
      </c>
      <c r="B3" s="2" t="s">
        <v>46</v>
      </c>
      <c r="C3" s="2" t="s">
        <v>60</v>
      </c>
      <c r="D3" s="2" t="s">
        <v>30</v>
      </c>
      <c r="E3" s="10" t="str">
        <f t="shared" si="0"/>
        <v>139</v>
      </c>
      <c r="F3" s="11" t="str">
        <f t="shared" si="1"/>
        <v>tcp</v>
      </c>
      <c r="G3" s="2" t="s">
        <v>37</v>
      </c>
    </row>
    <row r="4" spans="1:11" ht="15" customHeight="1" x14ac:dyDescent="0.3">
      <c r="A4" s="2" t="s">
        <v>72</v>
      </c>
      <c r="B4" s="2" t="s">
        <v>47</v>
      </c>
      <c r="C4" s="2" t="s">
        <v>60</v>
      </c>
      <c r="D4" s="2" t="s">
        <v>24</v>
      </c>
      <c r="E4" s="10" t="str">
        <f t="shared" si="0"/>
        <v>21</v>
      </c>
      <c r="F4" s="11" t="str">
        <f t="shared" si="1"/>
        <v>tcp</v>
      </c>
      <c r="G4" s="2" t="s">
        <v>34</v>
      </c>
      <c r="H4" s="2" t="s">
        <v>68</v>
      </c>
      <c r="I4" s="2" t="s">
        <v>67</v>
      </c>
      <c r="J4" s="8" t="s">
        <v>43</v>
      </c>
    </row>
    <row r="5" spans="1:11" ht="15" customHeight="1" x14ac:dyDescent="0.3">
      <c r="A5" s="2" t="s">
        <v>72</v>
      </c>
      <c r="B5" s="2" t="s">
        <v>48</v>
      </c>
      <c r="C5" s="2" t="s">
        <v>60</v>
      </c>
      <c r="D5" s="2" t="s">
        <v>18</v>
      </c>
      <c r="E5" s="10" t="str">
        <f t="shared" si="0"/>
        <v>445</v>
      </c>
      <c r="F5" s="11" t="str">
        <f t="shared" si="1"/>
        <v>tcp</v>
      </c>
      <c r="G5" s="2" t="s">
        <v>38</v>
      </c>
      <c r="H5" s="2" t="s">
        <v>58</v>
      </c>
    </row>
    <row r="6" spans="1:11" ht="15" customHeight="1" x14ac:dyDescent="0.3">
      <c r="A6" s="2" t="s">
        <v>72</v>
      </c>
      <c r="B6" s="2" t="s">
        <v>49</v>
      </c>
      <c r="C6" s="2" t="s">
        <v>60</v>
      </c>
      <c r="D6" s="2" t="s">
        <v>19</v>
      </c>
      <c r="E6" s="10" t="str">
        <f t="shared" si="0"/>
        <v>47001</v>
      </c>
      <c r="F6" s="11" t="str">
        <f t="shared" si="1"/>
        <v>tcp</v>
      </c>
      <c r="G6" s="2" t="s">
        <v>41</v>
      </c>
    </row>
    <row r="7" spans="1:11" ht="15" customHeight="1" x14ac:dyDescent="0.3">
      <c r="A7" s="2" t="s">
        <v>72</v>
      </c>
      <c r="B7" s="2" t="s">
        <v>50</v>
      </c>
      <c r="C7" s="2" t="s">
        <v>60</v>
      </c>
      <c r="D7" s="2" t="s">
        <v>27</v>
      </c>
      <c r="E7" s="10" t="str">
        <f t="shared" si="0"/>
        <v>49664</v>
      </c>
      <c r="F7" s="11" t="str">
        <f t="shared" si="1"/>
        <v>tcp</v>
      </c>
      <c r="G7" s="2" t="s">
        <v>42</v>
      </c>
    </row>
    <row r="8" spans="1:11" ht="15" customHeight="1" x14ac:dyDescent="0.3">
      <c r="A8" s="2" t="s">
        <v>72</v>
      </c>
      <c r="B8" s="2" t="s">
        <v>51</v>
      </c>
      <c r="C8" s="2" t="s">
        <v>60</v>
      </c>
      <c r="D8" s="2" t="s">
        <v>23</v>
      </c>
      <c r="E8" s="10" t="str">
        <f t="shared" si="0"/>
        <v>49665</v>
      </c>
      <c r="F8" s="11" t="str">
        <f t="shared" si="1"/>
        <v>tcp</v>
      </c>
      <c r="G8" s="2" t="s">
        <v>42</v>
      </c>
    </row>
    <row r="9" spans="1:11" ht="15" customHeight="1" x14ac:dyDescent="0.3">
      <c r="A9" s="2" t="s">
        <v>72</v>
      </c>
      <c r="B9" s="2" t="s">
        <v>52</v>
      </c>
      <c r="C9" s="2" t="s">
        <v>60</v>
      </c>
      <c r="D9" s="2" t="s">
        <v>28</v>
      </c>
      <c r="E9" s="10" t="str">
        <f t="shared" si="0"/>
        <v>49666</v>
      </c>
      <c r="F9" s="11" t="str">
        <f t="shared" si="1"/>
        <v>tcp</v>
      </c>
      <c r="G9" s="2" t="s">
        <v>42</v>
      </c>
    </row>
    <row r="10" spans="1:11" ht="15" customHeight="1" x14ac:dyDescent="0.3">
      <c r="A10" s="2" t="s">
        <v>72</v>
      </c>
      <c r="B10" s="2" t="s">
        <v>53</v>
      </c>
      <c r="C10" s="2" t="s">
        <v>60</v>
      </c>
      <c r="D10" s="2" t="s">
        <v>22</v>
      </c>
      <c r="E10" s="10" t="str">
        <f t="shared" si="0"/>
        <v>49667</v>
      </c>
      <c r="F10" s="11" t="str">
        <f t="shared" si="1"/>
        <v>tcp</v>
      </c>
      <c r="G10" s="2" t="s">
        <v>42</v>
      </c>
    </row>
    <row r="11" spans="1:11" ht="15" customHeight="1" x14ac:dyDescent="0.3">
      <c r="A11" s="2" t="s">
        <v>72</v>
      </c>
      <c r="B11" s="2" t="s">
        <v>54</v>
      </c>
      <c r="C11" s="2" t="s">
        <v>60</v>
      </c>
      <c r="D11" s="2" t="s">
        <v>26</v>
      </c>
      <c r="E11" s="10" t="str">
        <f t="shared" si="0"/>
        <v>49668</v>
      </c>
      <c r="F11" s="11" t="str">
        <f t="shared" si="1"/>
        <v>tcp</v>
      </c>
      <c r="G11" s="2" t="s">
        <v>42</v>
      </c>
    </row>
    <row r="12" spans="1:11" ht="15" customHeight="1" x14ac:dyDescent="0.3">
      <c r="A12" s="2" t="s">
        <v>72</v>
      </c>
      <c r="B12" s="2" t="s">
        <v>55</v>
      </c>
      <c r="C12" s="2" t="s">
        <v>60</v>
      </c>
      <c r="D12" s="2" t="s">
        <v>20</v>
      </c>
      <c r="E12" s="10" t="str">
        <f t="shared" si="0"/>
        <v>49669</v>
      </c>
      <c r="F12" s="11" t="str">
        <f t="shared" si="1"/>
        <v>tcp</v>
      </c>
      <c r="G12" s="2" t="s">
        <v>42</v>
      </c>
    </row>
    <row r="13" spans="1:11" ht="15" customHeight="1" x14ac:dyDescent="0.3">
      <c r="A13" s="2" t="s">
        <v>72</v>
      </c>
      <c r="B13" s="2" t="s">
        <v>56</v>
      </c>
      <c r="C13" s="2" t="s">
        <v>60</v>
      </c>
      <c r="D13" s="2" t="s">
        <v>21</v>
      </c>
      <c r="E13" s="10" t="str">
        <f t="shared" si="0"/>
        <v>5985</v>
      </c>
      <c r="F13" s="11" t="str">
        <f t="shared" si="1"/>
        <v>tcp</v>
      </c>
      <c r="G13" s="2" t="s">
        <v>39</v>
      </c>
      <c r="H13" s="2" t="s">
        <v>40</v>
      </c>
    </row>
    <row r="14" spans="1:11" ht="15" customHeight="1" x14ac:dyDescent="0.3">
      <c r="A14" s="2" t="s">
        <v>72</v>
      </c>
      <c r="B14" s="2" t="s">
        <v>57</v>
      </c>
      <c r="C14" s="2" t="s">
        <v>60</v>
      </c>
      <c r="D14" s="2" t="s">
        <v>25</v>
      </c>
      <c r="E14" s="10" t="str">
        <f t="shared" si="0"/>
        <v>80</v>
      </c>
      <c r="F14" s="11" t="str">
        <f t="shared" si="1"/>
        <v>tcp</v>
      </c>
      <c r="G14" s="2" t="s">
        <v>35</v>
      </c>
      <c r="H14" s="2" t="s">
        <v>61</v>
      </c>
      <c r="I14" s="2" t="s">
        <v>62</v>
      </c>
    </row>
    <row r="21" spans="3:3" ht="15" customHeight="1" x14ac:dyDescent="0.3">
      <c r="C21" s="2" t="s">
        <v>84</v>
      </c>
    </row>
  </sheetData>
  <phoneticPr fontId="3" type="noConversion"/>
  <hyperlinks>
    <hyperlink ref="J4" r:id="rId1" xr:uid="{CDD2CA98-BB29-41D8-974F-C45D8BA792E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G23"/>
  <sheetViews>
    <sheetView workbookViewId="0">
      <selection activeCell="B21" sqref="B21"/>
    </sheetView>
  </sheetViews>
  <sheetFormatPr defaultRowHeight="15" customHeight="1" x14ac:dyDescent="0.3"/>
  <cols>
    <col min="1" max="1" width="23.44140625" style="1" customWidth="1"/>
    <col min="2" max="2" width="39.109375" style="2" customWidth="1"/>
    <col min="3" max="3" width="18.5546875" style="2" customWidth="1"/>
    <col min="4" max="4" width="34.33203125" style="2" customWidth="1"/>
    <col min="5" max="5" width="64" style="1" customWidth="1"/>
    <col min="6" max="6" width="50.21875" style="1" customWidth="1"/>
    <col min="7" max="7" width="49.44140625" style="1" customWidth="1"/>
    <col min="8" max="16384" width="8.88671875" style="1"/>
  </cols>
  <sheetData>
    <row r="1" spans="1:7" s="3" customFormat="1" ht="15" customHeight="1" x14ac:dyDescent="0.3">
      <c r="A1" s="3" t="s">
        <v>7</v>
      </c>
      <c r="B1" s="4" t="s">
        <v>17</v>
      </c>
      <c r="C1" s="4" t="s">
        <v>16</v>
      </c>
      <c r="D1" s="4" t="s">
        <v>8</v>
      </c>
      <c r="E1" s="3" t="s">
        <v>5</v>
      </c>
      <c r="F1" s="3" t="s">
        <v>10</v>
      </c>
      <c r="G1" s="3" t="s">
        <v>9</v>
      </c>
    </row>
    <row r="2" spans="1:7" ht="15" customHeight="1" x14ac:dyDescent="0.3">
      <c r="E2" s="2"/>
      <c r="F2" s="7"/>
    </row>
    <row r="3" spans="1:7" ht="15" customHeight="1" x14ac:dyDescent="0.3">
      <c r="E3" s="2"/>
    </row>
    <row r="5" spans="1:7" ht="15" customHeight="1" x14ac:dyDescent="0.3">
      <c r="E5" s="4"/>
    </row>
    <row r="23" spans="5:6" ht="15" customHeight="1" x14ac:dyDescent="0.3">
      <c r="E23" s="2"/>
      <c r="F23" s="8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2"/>
  <sheetViews>
    <sheetView workbookViewId="0">
      <selection activeCell="F17" sqref="F17"/>
    </sheetView>
  </sheetViews>
  <sheetFormatPr defaultRowHeight="15" customHeight="1" x14ac:dyDescent="0.3"/>
  <cols>
    <col min="1" max="1" width="16.109375" style="2" customWidth="1"/>
    <col min="2" max="2" width="12.109375" style="2" customWidth="1"/>
    <col min="3" max="3" width="10.44140625" style="2" customWidth="1"/>
    <col min="4" max="4" width="11.5546875" style="2" customWidth="1"/>
    <col min="5" max="5" width="17.6640625" style="2" bestFit="1" customWidth="1"/>
    <col min="6" max="6" width="33.77734375" style="2" customWidth="1"/>
    <col min="7" max="7" width="25.109375" style="2" customWidth="1"/>
    <col min="8" max="8" width="69.44140625" style="2" customWidth="1"/>
    <col min="9" max="10" width="33.44140625" style="2" customWidth="1"/>
    <col min="11" max="11" width="33.77734375" style="2" customWidth="1"/>
    <col min="12" max="16384" width="8.88671875" style="2"/>
  </cols>
  <sheetData>
    <row r="1" spans="1:11" s="4" customFormat="1" ht="15" customHeight="1" x14ac:dyDescent="0.3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5" t="s">
        <v>44</v>
      </c>
      <c r="K1" s="4" t="s">
        <v>9</v>
      </c>
    </row>
    <row r="2" spans="1:11" ht="15" customHeight="1" x14ac:dyDescent="0.3">
      <c r="A2" s="2" t="s">
        <v>72</v>
      </c>
      <c r="E2" s="2" t="s">
        <v>69</v>
      </c>
      <c r="H2" s="2" t="s">
        <v>70</v>
      </c>
      <c r="I2" s="8"/>
      <c r="J2" s="2" t="s">
        <v>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A19"/>
  <sheetViews>
    <sheetView workbookViewId="0">
      <selection activeCell="A22" sqref="A22"/>
    </sheetView>
  </sheetViews>
  <sheetFormatPr defaultRowHeight="15" customHeight="1" x14ac:dyDescent="0.3"/>
  <cols>
    <col min="1" max="1" width="118.88671875" style="6" bestFit="1" customWidth="1"/>
  </cols>
  <sheetData>
    <row r="1" spans="1:1" ht="15" customHeight="1" x14ac:dyDescent="0.3">
      <c r="A1" s="5" t="s">
        <v>6</v>
      </c>
    </row>
    <row r="2" spans="1:1" ht="15" customHeight="1" x14ac:dyDescent="0.3">
      <c r="A2" t="s">
        <v>73</v>
      </c>
    </row>
    <row r="3" spans="1:1" ht="15" customHeight="1" x14ac:dyDescent="0.3">
      <c r="A3" t="s">
        <v>74</v>
      </c>
    </row>
    <row r="4" spans="1:1" ht="15" customHeight="1" x14ac:dyDescent="0.3">
      <c r="A4" s="6" t="s">
        <v>33</v>
      </c>
    </row>
    <row r="5" spans="1:1" ht="15" customHeight="1" x14ac:dyDescent="0.3">
      <c r="A5" s="6" t="s">
        <v>32</v>
      </c>
    </row>
    <row r="6" spans="1:1" ht="15" customHeight="1" x14ac:dyDescent="0.3">
      <c r="A6" t="s">
        <v>75</v>
      </c>
    </row>
    <row r="7" spans="1:1" ht="15" customHeight="1" x14ac:dyDescent="0.3">
      <c r="A7" s="6" t="s">
        <v>76</v>
      </c>
    </row>
    <row r="8" spans="1:1" ht="15" customHeight="1" x14ac:dyDescent="0.3">
      <c r="A8" s="6" t="s">
        <v>77</v>
      </c>
    </row>
    <row r="9" spans="1:1" ht="15" customHeight="1" x14ac:dyDescent="0.3">
      <c r="A9" s="6" t="s">
        <v>78</v>
      </c>
    </row>
    <row r="10" spans="1:1" ht="15" customHeight="1" x14ac:dyDescent="0.3">
      <c r="A10" s="6" t="s">
        <v>59</v>
      </c>
    </row>
    <row r="11" spans="1:1" ht="15" customHeight="1" x14ac:dyDescent="0.3">
      <c r="A11" s="9" t="s">
        <v>79</v>
      </c>
    </row>
    <row r="12" spans="1:1" ht="15" customHeight="1" x14ac:dyDescent="0.3">
      <c r="A12" s="6" t="s">
        <v>80</v>
      </c>
    </row>
    <row r="13" spans="1:1" ht="15" customHeight="1" x14ac:dyDescent="0.3">
      <c r="A13" s="6" t="s">
        <v>81</v>
      </c>
    </row>
    <row r="14" spans="1:1" ht="15" customHeight="1" x14ac:dyDescent="0.3">
      <c r="A14" s="6" t="s">
        <v>63</v>
      </c>
    </row>
    <row r="15" spans="1:1" ht="15" customHeight="1" x14ac:dyDescent="0.3">
      <c r="A15" s="6" t="s">
        <v>64</v>
      </c>
    </row>
    <row r="16" spans="1:1" ht="15" customHeight="1" x14ac:dyDescent="0.3">
      <c r="A16" s="6" t="s">
        <v>65</v>
      </c>
    </row>
    <row r="17" spans="1:1" ht="15" customHeight="1" x14ac:dyDescent="0.3">
      <c r="A17" s="6" t="s">
        <v>66</v>
      </c>
    </row>
    <row r="18" spans="1:1" ht="15" customHeight="1" x14ac:dyDescent="0.3">
      <c r="A18" s="6" t="s">
        <v>82</v>
      </c>
    </row>
    <row r="19" spans="1:1" ht="15" customHeight="1" x14ac:dyDescent="0.3">
      <c r="A19" s="6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</vt:lpstr>
      <vt:lpstr>Web App</vt:lpstr>
      <vt:lpstr>On host</vt:lpstr>
      <vt:lpstr>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2026-06-23T01:32:56Z</dcterms:created>
  <dcterms:modified xsi:type="dcterms:W3CDTF">2026-06-23T11:16:27Z</dcterms:modified>
</cp:coreProperties>
</file>